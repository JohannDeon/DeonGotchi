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 DEON\Documents\GitHub\BlinkerOne\Documents\"/>
    </mc:Choice>
  </mc:AlternateContent>
  <xr:revisionPtr revIDLastSave="0" documentId="13_ncr:1_{2579AF6A-51B7-430E-982F-65D87039084F}" xr6:coauthVersionLast="47" xr6:coauthVersionMax="47" xr10:uidLastSave="{00000000-0000-0000-0000-000000000000}"/>
  <bookViews>
    <workbookView xWindow="-53" yWindow="-53" windowWidth="25706" windowHeight="13786" xr2:uid="{92A5E205-6164-4ADD-AD69-DE1B862CD8E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1" l="1"/>
  <c r="J61" i="1"/>
  <c r="I61" i="1"/>
  <c r="H61" i="1"/>
  <c r="G61" i="1"/>
  <c r="Q60" i="1"/>
  <c r="J60" i="1"/>
  <c r="I60" i="1"/>
  <c r="H60" i="1"/>
  <c r="G60" i="1"/>
  <c r="Q59" i="1"/>
  <c r="P59" i="1"/>
  <c r="K59" i="1"/>
  <c r="J59" i="1"/>
  <c r="I59" i="1"/>
  <c r="H59" i="1"/>
  <c r="G59" i="1"/>
  <c r="Q58" i="1"/>
  <c r="J58" i="1"/>
  <c r="I58" i="1"/>
  <c r="H58" i="1"/>
  <c r="G58" i="1"/>
  <c r="Q57" i="1"/>
  <c r="J57" i="1"/>
  <c r="I57" i="1"/>
  <c r="H57" i="1"/>
  <c r="G57" i="1"/>
  <c r="Q56" i="1"/>
  <c r="J56" i="1"/>
  <c r="I56" i="1"/>
  <c r="H56" i="1"/>
  <c r="G56" i="1"/>
  <c r="Q55" i="1"/>
  <c r="J55" i="1"/>
  <c r="I55" i="1"/>
  <c r="H55" i="1"/>
  <c r="G55" i="1"/>
  <c r="Q54" i="1"/>
  <c r="J54" i="1" s="1"/>
  <c r="I54" i="1"/>
  <c r="H54" i="1"/>
  <c r="G54" i="1"/>
  <c r="Q53" i="1"/>
  <c r="J53" i="1" s="1"/>
  <c r="I53" i="1"/>
  <c r="H53" i="1"/>
  <c r="G53" i="1"/>
  <c r="Q52" i="1"/>
  <c r="J52" i="1"/>
  <c r="I52" i="1"/>
  <c r="H52" i="1"/>
  <c r="G52" i="1"/>
  <c r="Q51" i="1"/>
  <c r="J51" i="1"/>
  <c r="I51" i="1"/>
  <c r="H51" i="1"/>
  <c r="G51" i="1"/>
  <c r="Q50" i="1"/>
  <c r="N50" i="1"/>
  <c r="M50" i="1"/>
  <c r="O50" i="1" s="1"/>
  <c r="I50" i="1" s="1"/>
  <c r="J50" i="1"/>
  <c r="H50" i="1"/>
  <c r="G50" i="1"/>
  <c r="Q49" i="1"/>
  <c r="N49" i="1"/>
  <c r="M49" i="1"/>
  <c r="O49" i="1" s="1"/>
  <c r="I49" i="1" s="1"/>
  <c r="J49" i="1"/>
  <c r="H49" i="1"/>
  <c r="G49" i="1"/>
  <c r="Q48" i="1"/>
  <c r="N48" i="1"/>
  <c r="M48" i="1"/>
  <c r="O48" i="1" s="1"/>
  <c r="I48" i="1" s="1"/>
  <c r="J48" i="1"/>
  <c r="H48" i="1"/>
  <c r="G48" i="1"/>
  <c r="Q47" i="1"/>
  <c r="N47" i="1"/>
  <c r="M47" i="1"/>
  <c r="J47" i="1"/>
  <c r="G47" i="1"/>
  <c r="Q46" i="1"/>
  <c r="N46" i="1"/>
  <c r="M46" i="1"/>
  <c r="O46" i="1" s="1"/>
  <c r="I46" i="1" s="1"/>
  <c r="J46" i="1"/>
  <c r="H46" i="1"/>
  <c r="G46" i="1"/>
  <c r="Q45" i="1"/>
  <c r="J45" i="1"/>
  <c r="I45" i="1"/>
  <c r="H45" i="1"/>
  <c r="G45" i="1"/>
  <c r="Q44" i="1"/>
  <c r="J44" i="1" s="1"/>
  <c r="N44" i="1"/>
  <c r="M44" i="1"/>
  <c r="O44" i="1" s="1"/>
  <c r="I44" i="1" s="1"/>
  <c r="H44" i="1"/>
  <c r="G44" i="1"/>
  <c r="Q43" i="1"/>
  <c r="N43" i="1"/>
  <c r="M43" i="1"/>
  <c r="O43" i="1" s="1"/>
  <c r="I43" i="1" s="1"/>
  <c r="J43" i="1"/>
  <c r="H43" i="1"/>
  <c r="G43" i="1"/>
  <c r="Q42" i="1"/>
  <c r="N42" i="1"/>
  <c r="K42" i="1"/>
  <c r="J42" i="1"/>
  <c r="G42" i="1"/>
  <c r="Q41" i="1"/>
  <c r="N41" i="1"/>
  <c r="M41" i="1"/>
  <c r="O41" i="1" s="1"/>
  <c r="I41" i="1" s="1"/>
  <c r="J41" i="1"/>
  <c r="H41" i="1"/>
  <c r="G41" i="1"/>
  <c r="Q40" i="1"/>
  <c r="N40" i="1"/>
  <c r="M40" i="1"/>
  <c r="O40" i="1" s="1"/>
  <c r="I40" i="1" s="1"/>
  <c r="J40" i="1"/>
  <c r="H40" i="1"/>
  <c r="G40" i="1"/>
  <c r="Q39" i="1"/>
  <c r="N39" i="1"/>
  <c r="M39" i="1"/>
  <c r="O39" i="1" s="1"/>
  <c r="I39" i="1" s="1"/>
  <c r="J39" i="1"/>
  <c r="H39" i="1"/>
  <c r="G39" i="1"/>
  <c r="Q38" i="1"/>
  <c r="J38" i="1" s="1"/>
  <c r="N38" i="1"/>
  <c r="M38" i="1"/>
  <c r="G38" i="1"/>
  <c r="Q37" i="1"/>
  <c r="N37" i="1"/>
  <c r="M37" i="1"/>
  <c r="O37" i="1" s="1"/>
  <c r="I37" i="1" s="1"/>
  <c r="J37" i="1"/>
  <c r="H37" i="1"/>
  <c r="G37" i="1"/>
  <c r="Q36" i="1"/>
  <c r="N36" i="1"/>
  <c r="M36" i="1"/>
  <c r="O36" i="1" s="1"/>
  <c r="I36" i="1" s="1"/>
  <c r="J36" i="1"/>
  <c r="H36" i="1"/>
  <c r="G36" i="1"/>
  <c r="Q35" i="1"/>
  <c r="N35" i="1"/>
  <c r="M35" i="1"/>
  <c r="O35" i="1" s="1"/>
  <c r="I35" i="1" s="1"/>
  <c r="J35" i="1"/>
  <c r="H35" i="1"/>
  <c r="G35" i="1"/>
  <c r="Q34" i="1"/>
  <c r="N34" i="1"/>
  <c r="M34" i="1"/>
  <c r="O34" i="1" s="1"/>
  <c r="I34" i="1" s="1"/>
  <c r="J34" i="1"/>
  <c r="H34" i="1"/>
  <c r="G34" i="1"/>
  <c r="Q33" i="1"/>
  <c r="N33" i="1"/>
  <c r="M33" i="1"/>
  <c r="O33" i="1" s="1"/>
  <c r="I33" i="1" s="1"/>
  <c r="J33" i="1"/>
  <c r="H33" i="1"/>
  <c r="G33" i="1"/>
  <c r="Q32" i="1"/>
  <c r="N32" i="1"/>
  <c r="M32" i="1"/>
  <c r="O32" i="1" s="1"/>
  <c r="I32" i="1" s="1"/>
  <c r="J32" i="1"/>
  <c r="H32" i="1"/>
  <c r="G32" i="1"/>
  <c r="Q31" i="1"/>
  <c r="N31" i="1"/>
  <c r="M31" i="1"/>
  <c r="O31" i="1" s="1"/>
  <c r="I31" i="1" s="1"/>
  <c r="J31" i="1"/>
  <c r="H31" i="1"/>
  <c r="G31" i="1"/>
  <c r="Q30" i="1"/>
  <c r="J30" i="1"/>
  <c r="I30" i="1"/>
  <c r="H30" i="1"/>
  <c r="G30" i="1"/>
  <c r="Q29" i="1"/>
  <c r="J29" i="1"/>
  <c r="I29" i="1"/>
  <c r="H29" i="1"/>
  <c r="G29" i="1"/>
  <c r="Q28" i="1"/>
  <c r="O28" i="1"/>
  <c r="J28" i="1"/>
  <c r="I28" i="1"/>
  <c r="H28" i="1"/>
  <c r="G28" i="1"/>
  <c r="Q27" i="1"/>
  <c r="J27" i="1"/>
  <c r="I27" i="1"/>
  <c r="H27" i="1"/>
  <c r="G27" i="1"/>
  <c r="Q26" i="1"/>
  <c r="J26" i="1"/>
  <c r="I26" i="1"/>
  <c r="H26" i="1"/>
  <c r="G26" i="1"/>
  <c r="Q25" i="1"/>
  <c r="J25" i="1"/>
  <c r="I25" i="1"/>
  <c r="H25" i="1"/>
  <c r="G25" i="1"/>
  <c r="Q24" i="1"/>
  <c r="J24" i="1" s="1"/>
  <c r="I24" i="1"/>
  <c r="H24" i="1"/>
  <c r="G24" i="1"/>
  <c r="Q23" i="1"/>
  <c r="J23" i="1"/>
  <c r="I23" i="1"/>
  <c r="H23" i="1"/>
  <c r="G23" i="1"/>
  <c r="Q22" i="1"/>
  <c r="J22" i="1"/>
  <c r="I22" i="1"/>
  <c r="H22" i="1"/>
  <c r="G22" i="1"/>
  <c r="Q21" i="1"/>
  <c r="J21" i="1"/>
  <c r="I21" i="1"/>
  <c r="H21" i="1"/>
  <c r="G21" i="1"/>
  <c r="Q20" i="1"/>
  <c r="J20" i="1"/>
  <c r="I20" i="1"/>
  <c r="H20" i="1"/>
  <c r="G20" i="1"/>
  <c r="Q19" i="1"/>
  <c r="J19" i="1"/>
  <c r="I19" i="1"/>
  <c r="H19" i="1"/>
  <c r="G19" i="1"/>
  <c r="Q18" i="1"/>
  <c r="J18" i="1"/>
  <c r="I18" i="1"/>
  <c r="H18" i="1"/>
  <c r="G18" i="1"/>
  <c r="Q17" i="1"/>
  <c r="J17" i="1"/>
  <c r="I17" i="1"/>
  <c r="H17" i="1"/>
  <c r="G17" i="1"/>
  <c r="Q16" i="1"/>
  <c r="J16" i="1"/>
  <c r="I16" i="1"/>
  <c r="H16" i="1"/>
  <c r="G16" i="1"/>
  <c r="Q15" i="1"/>
  <c r="J15" i="1"/>
  <c r="I15" i="1"/>
  <c r="H15" i="1"/>
  <c r="G15" i="1"/>
  <c r="Q14" i="1"/>
  <c r="J14" i="1"/>
  <c r="I14" i="1"/>
  <c r="H14" i="1"/>
  <c r="G14" i="1"/>
  <c r="Q13" i="1"/>
  <c r="J13" i="1" s="1"/>
  <c r="I13" i="1"/>
  <c r="H13" i="1"/>
  <c r="G13" i="1"/>
  <c r="Q12" i="1"/>
  <c r="J12" i="1" s="1"/>
  <c r="I12" i="1"/>
  <c r="H12" i="1"/>
  <c r="G12" i="1"/>
  <c r="Q11" i="1"/>
  <c r="J11" i="1"/>
  <c r="I11" i="1"/>
  <c r="H11" i="1"/>
  <c r="G11" i="1"/>
  <c r="Q10" i="1"/>
  <c r="J10" i="1"/>
  <c r="I10" i="1"/>
  <c r="H10" i="1"/>
  <c r="G10" i="1"/>
  <c r="Q9" i="1"/>
  <c r="J9" i="1"/>
  <c r="I9" i="1"/>
  <c r="H9" i="1"/>
  <c r="G9" i="1"/>
  <c r="Q8" i="1"/>
  <c r="J8" i="1"/>
  <c r="I8" i="1"/>
  <c r="H8" i="1"/>
  <c r="G8" i="1"/>
  <c r="Q7" i="1"/>
  <c r="J7" i="1"/>
  <c r="I7" i="1"/>
  <c r="H7" i="1"/>
  <c r="G7" i="1"/>
  <c r="H47" i="1" l="1"/>
  <c r="O47" i="1"/>
  <c r="I47" i="1" s="1"/>
  <c r="M42" i="1"/>
  <c r="O38" i="1"/>
  <c r="I38" i="1" s="1"/>
  <c r="H38" i="1"/>
  <c r="H42" i="1" l="1"/>
  <c r="O42" i="1"/>
  <c r="I4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<sst xmlns="http://schemas.openxmlformats.org/spreadsheetml/2006/main" count="447" uniqueCount="157">
  <si>
    <t>By deon-electonics</t>
  </si>
  <si>
    <t>Rating (%)</t>
  </si>
  <si>
    <t>Temperature (°C)</t>
  </si>
  <si>
    <t>Battery Voltage (V)</t>
  </si>
  <si>
    <t>Components</t>
  </si>
  <si>
    <t>PASS/FAIL</t>
  </si>
  <si>
    <t>Ratting</t>
  </si>
  <si>
    <t>Reference</t>
  </si>
  <si>
    <t>Value</t>
  </si>
  <si>
    <t>Footprint</t>
  </si>
  <si>
    <t>Part</t>
  </si>
  <si>
    <t>Datasheet</t>
  </si>
  <si>
    <t>Voltage</t>
  </si>
  <si>
    <t>Current</t>
  </si>
  <si>
    <t>Power</t>
  </si>
  <si>
    <t>Temperature</t>
  </si>
  <si>
    <t>Voltage (V)</t>
  </si>
  <si>
    <t>Max Voltage (V)</t>
  </si>
  <si>
    <t>Current (A)</t>
  </si>
  <si>
    <t>Max Current (A)</t>
  </si>
  <si>
    <t>Power (W)</t>
  </si>
  <si>
    <t>Max Power (W)</t>
  </si>
  <si>
    <t>Min Temperature (°C)</t>
  </si>
  <si>
    <t>Max Temperature (°C)</t>
  </si>
  <si>
    <t>Comments</t>
  </si>
  <si>
    <t>C4</t>
  </si>
  <si>
    <t>10uF</t>
  </si>
  <si>
    <t>C0805</t>
  </si>
  <si>
    <t>GMK212BBJ106MG-T</t>
  </si>
  <si>
    <t>https://atta.szlcsc.com/upload/public/pdf/source/20230606/A83975C7E70EF5AFCD4A17254ABD78F2.pdf</t>
  </si>
  <si>
    <t>N/A</t>
  </si>
  <si>
    <t>C8</t>
  </si>
  <si>
    <t>C9</t>
  </si>
  <si>
    <t>100nF</t>
  </si>
  <si>
    <t>C0603</t>
  </si>
  <si>
    <t>CC0603KRX7R9BB104</t>
  </si>
  <si>
    <t>https://atta.szlcsc.com/upload/public/pdf/source/20180910/C282072_33301C7F631E79921B82A8DAC6BCC5B3.pdf</t>
  </si>
  <si>
    <t>C10</t>
  </si>
  <si>
    <t>C11</t>
  </si>
  <si>
    <t>C13</t>
  </si>
  <si>
    <t>C14</t>
  </si>
  <si>
    <t>C46</t>
  </si>
  <si>
    <t>1uF</t>
  </si>
  <si>
    <t>CC0805JKX7R9BB105</t>
  </si>
  <si>
    <t>https://atta.szlcsc.com/upload/public/pdf/source/20200615/C541528_3316C96F16E83D111D4F7F377579D94B.pdf</t>
  </si>
  <si>
    <t>C48</t>
  </si>
  <si>
    <t>C49</t>
  </si>
  <si>
    <t>22uF</t>
  </si>
  <si>
    <t>HGC0805R5226M100NSLJ</t>
  </si>
  <si>
    <t>https://atta.szlcsc.com/upload/public/pdf/source/20240326/8CF276554024C56FF240776B3FDB4F5B.pdf</t>
  </si>
  <si>
    <t>C51</t>
  </si>
  <si>
    <t>C53</t>
  </si>
  <si>
    <t>C54</t>
  </si>
  <si>
    <t>C55</t>
  </si>
  <si>
    <t>10nF</t>
  </si>
  <si>
    <t>CL10B103KB8NNNC</t>
  </si>
  <si>
    <t>https://item.szlcsc.com/datasheet/CL10B103KB8NNNC/1941.html</t>
  </si>
  <si>
    <t>C56</t>
  </si>
  <si>
    <t>2.2nF</t>
  </si>
  <si>
    <t>FCC0603B222K500CT</t>
  </si>
  <si>
    <t>https://item.szlcsc.com/datasheet/FCC0603B222K500CT/5747014.html</t>
  </si>
  <si>
    <t>C57</t>
  </si>
  <si>
    <t>C58</t>
  </si>
  <si>
    <t>C59</t>
  </si>
  <si>
    <t>C60</t>
  </si>
  <si>
    <t>C61</t>
  </si>
  <si>
    <t>D1</t>
  </si>
  <si>
    <t/>
  </si>
  <si>
    <t>SOT-23-6</t>
  </si>
  <si>
    <t>USBLC6-2SC6</t>
  </si>
  <si>
    <t>https://atta.szlcsc.com/upload/public/pdf/source/20240508/8744695A3CEF6F352B9F309C5B6379B3.pdf</t>
  </si>
  <si>
    <t>Q2</t>
  </si>
  <si>
    <t>SOT-23-3</t>
  </si>
  <si>
    <t>S8050 J3Y(RANGE:200-350)</t>
  </si>
  <si>
    <t>https://atta.szlcsc.com/upload/public/pdf/source/20231013/FF37B6A000E6CDA75C9C999D2E78731F.pdf</t>
  </si>
  <si>
    <t>Q3</t>
  </si>
  <si>
    <t>Q4</t>
  </si>
  <si>
    <t>R2</t>
  </si>
  <si>
    <t>5.1kΩ</t>
  </si>
  <si>
    <t>R0603</t>
  </si>
  <si>
    <t>0603WAF5101T5E</t>
  </si>
  <si>
    <t>https://atta.szlcsc.com/upload/public/pdf/source/20200306/C422600_1E6D84923E4A46A82E41ADD87F860B5C.pdf</t>
  </si>
  <si>
    <t>R3</t>
  </si>
  <si>
    <t>R4</t>
  </si>
  <si>
    <t>120kΩ</t>
  </si>
  <si>
    <t>0603WAF1203T5E</t>
  </si>
  <si>
    <t>R7</t>
  </si>
  <si>
    <t>10kΩ</t>
  </si>
  <si>
    <t>0603WAF1002T5E</t>
  </si>
  <si>
    <t>R8</t>
  </si>
  <si>
    <t>R9</t>
  </si>
  <si>
    <t>R10</t>
  </si>
  <si>
    <t>R11</t>
  </si>
  <si>
    <t>R0805</t>
  </si>
  <si>
    <t>0805W8F1002T5E</t>
  </si>
  <si>
    <t>R12</t>
  </si>
  <si>
    <t>R32</t>
  </si>
  <si>
    <t>R33</t>
  </si>
  <si>
    <t>1.2kΩ</t>
  </si>
  <si>
    <t>FRC0603F1201TS</t>
  </si>
  <si>
    <t>R34</t>
  </si>
  <si>
    <t>NCP18XH103F03RB</t>
  </si>
  <si>
    <t>https://item.szlcsc.com/datasheet/NCP18XH103F03RB/14214.html</t>
  </si>
  <si>
    <t>R35</t>
  </si>
  <si>
    <t>R36</t>
  </si>
  <si>
    <t>R37</t>
  </si>
  <si>
    <t>2.5Ω</t>
  </si>
  <si>
    <t>ARG05FTC2R50</t>
  </si>
  <si>
    <t>https://item.szlcsc.com/datasheet/ARG05FTC2R50/3551079.html</t>
  </si>
  <si>
    <t>R38</t>
  </si>
  <si>
    <t>R39</t>
  </si>
  <si>
    <t>R40</t>
  </si>
  <si>
    <t>R41</t>
  </si>
  <si>
    <t>R42</t>
  </si>
  <si>
    <t>U1</t>
  </si>
  <si>
    <t>LCD-SMD_HS20BS097RX</t>
  </si>
  <si>
    <t>HS20BS097RX</t>
  </si>
  <si>
    <t>https://atta.szlcsc.com/upload/public/pdf/source/20230921/B72E6423633E6E7ABC144540526592D6.pdf</t>
  </si>
  <si>
    <t>U4</t>
  </si>
  <si>
    <t>SOP-16</t>
  </si>
  <si>
    <t>CH340C</t>
  </si>
  <si>
    <t>https://atta.szlcsc.com/upload/public/pdf/source/20240619/63986D8440D4E5267A77ACD891CC4DE3.pdf</t>
  </si>
  <si>
    <t>U46</t>
  </si>
  <si>
    <t>ESP32-S3-WROOM-1</t>
  </si>
  <si>
    <t>ESP32-S3-WROOM-1-N16R8</t>
  </si>
  <si>
    <t>https://item.szlcsc.com/datasheet/ESP32-S3-WROOM-1-N16R8/3198300.html</t>
  </si>
  <si>
    <t>U47</t>
  </si>
  <si>
    <t>TQFN-16</t>
  </si>
  <si>
    <t>MAX98357AETE+T</t>
  </si>
  <si>
    <t>https://atta.szlcsc.com/upload/public/pdf/source/20210106/C910544_CB6DE4B2CEE254A72E6BDB40E718D281.pdf</t>
  </si>
  <si>
    <t>U48</t>
  </si>
  <si>
    <t>VSSOP-10</t>
  </si>
  <si>
    <t>DRV2605LDGSR</t>
  </si>
  <si>
    <t>https://www.ti.com/cn/lit/gpn/drv2605l</t>
  </si>
  <si>
    <t>ALWAYS =&lt; 4.2V</t>
  </si>
  <si>
    <t>U49</t>
  </si>
  <si>
    <t>ESOP-8</t>
  </si>
  <si>
    <t>TP4056</t>
  </si>
  <si>
    <t>https://item.szlcsc.com/datasheet/TP4056/51406851.html</t>
  </si>
  <si>
    <t>U50</t>
  </si>
  <si>
    <t>TDFN-8</t>
  </si>
  <si>
    <t>MAX17048G+T10</t>
  </si>
  <si>
    <t>https://item.szlcsc.com/datasheet/MAX17048G%252BT10/2777647.html</t>
  </si>
  <si>
    <t>MADE FOR</t>
  </si>
  <si>
    <t>U53</t>
  </si>
  <si>
    <t>QFN-24</t>
  </si>
  <si>
    <t>MPU-6050</t>
  </si>
  <si>
    <t>https://item.szlcsc.com/datasheet/MPU-6050/24852.html</t>
  </si>
  <si>
    <t>U54</t>
  </si>
  <si>
    <t>SOT-23-5</t>
  </si>
  <si>
    <t>XC6220B331MR</t>
  </si>
  <si>
    <t>https://item.szlcsc.com/datasheet/XC6220B331MR/3597969.html</t>
  </si>
  <si>
    <t>TBD</t>
  </si>
  <si>
    <t>U56</t>
  </si>
  <si>
    <t>EEMB Batterie Lithium polymère 3,7V 1100mAh 903042</t>
  </si>
  <si>
    <t>U57</t>
  </si>
  <si>
    <t>LRA vibrator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</si>
</sst>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4"/>
      <color theme="1"/>
      <name val="deonstudio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3" borderId="1" xfId="0" applyFont="1" applyFill="1" applyBorder="1"/>
    <xf numFmtId="10" fontId="0" fillId="2" borderId="2" xfId="0" applyNumberFormat="1" applyFill="1" applyBorder="1"/>
    <xf numFmtId="0" fontId="0" fillId="2" borderId="2" xfId="0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 applyAlignment="1">
      <alignment horizontal="left"/>
    </xf>
    <xf numFmtId="0" fontId="1" fillId="5" borderId="4" xfId="0" applyFont="1" applyFill="1" applyBorder="1"/>
    <xf numFmtId="0" fontId="1" fillId="5" borderId="10" xfId="0" applyFont="1" applyFill="1" applyBorder="1"/>
    <xf numFmtId="0" fontId="1" fillId="5" borderId="5" xfId="0" applyFont="1" applyFill="1" applyBorder="1"/>
    <xf numFmtId="0" fontId="1" fillId="5" borderId="3" xfId="0" applyFont="1" applyFill="1" applyBorder="1"/>
    <xf numFmtId="0" fontId="1" fillId="4" borderId="10" xfId="0" applyFont="1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/>
    <xf numFmtId="0" fontId="0" fillId="6" borderId="30" xfId="0" applyFill="1" applyBorder="1"/>
    <xf numFmtId="0" fontId="2" fillId="2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2499465926084170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749992370372631"/>
        </patternFill>
      </fill>
      <border diagonalUp="0" diagonalDown="0" outline="0">
        <left style="thick">
          <color indexed="64"/>
        </left>
        <right style="thick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834C8-1995-4797-9F20-6F4CBC72E4E7}" name="Tableau1" displayName="Tableau1" ref="B6:F61" totalsRowShown="0" headerRowDxfId="11" dataDxfId="9" headerRowBorderDxfId="10" tableBorderDxfId="8">
  <autoFilter ref="B6:F61" xr:uid="{52A834C8-1995-4797-9F20-6F4CBC72E4E7}"/>
  <tableColumns count="5">
    <tableColumn id="1" xr3:uid="{8B802D42-8B89-4396-BA50-89A252EC7299}" name="Reference" dataDxfId="7"/>
    <tableColumn id="2" xr3:uid="{CCA73E65-7860-4B38-9FEE-A3C808939A73}" name="Value" dataDxfId="6"/>
    <tableColumn id="3" xr3:uid="{9BF8E68E-5A31-40B4-8264-19E21F78A175}" name="Footprint" dataDxfId="5"/>
    <tableColumn id="4" xr3:uid="{C77D6FC9-5924-4FDC-A2C4-9522B5C6C6C3}" name="Part" dataDxfId="4"/>
    <tableColumn id="5" xr3:uid="{3612A8D7-5B6F-4E7E-BF29-B21293AC27E5}" name="Datashee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75E0-7186-47B1-815F-EB4A868C9C71}">
  <dimension ref="B1:T62"/>
  <sheetViews>
    <sheetView tabSelected="1" topLeftCell="A15" zoomScaleNormal="100" workbookViewId="0">
      <selection activeCell="T59" sqref="T59"/>
    </sheetView>
  </sheetViews>
  <sheetFormatPr baseColWidth="10" defaultRowHeight="15" x14ac:dyDescent="0.25"/>
  <cols>
    <col min="1" max="1" width="22.5703125" style="2" customWidth="1"/>
    <col min="2" max="2" width="23.42578125" style="2" bestFit="1" customWidth="1"/>
    <col min="3" max="3" width="8.28515625" style="2" customWidth="1"/>
    <col min="4" max="4" width="55.7109375" style="2" bestFit="1" customWidth="1"/>
    <col min="5" max="5" width="25.42578125" style="2" bestFit="1" customWidth="1"/>
    <col min="6" max="6" width="29.5703125" style="2" customWidth="1"/>
    <col min="7" max="8" width="11.42578125" style="2"/>
    <col min="9" max="10" width="12.5703125" style="2" bestFit="1" customWidth="1"/>
    <col min="11" max="11" width="14.42578125" style="2" bestFit="1" customWidth="1"/>
    <col min="12" max="12" width="19.5703125" style="2" bestFit="1" customWidth="1"/>
    <col min="13" max="13" width="14.85546875" style="2" bestFit="1" customWidth="1"/>
    <col min="14" max="14" width="19.140625" style="2" bestFit="1" customWidth="1"/>
    <col min="15" max="15" width="14.85546875" style="2" bestFit="1" customWidth="1"/>
    <col min="16" max="16" width="18.140625" style="2" bestFit="1" customWidth="1"/>
    <col min="17" max="17" width="20.7109375" style="2" bestFit="1" customWidth="1"/>
    <col min="18" max="18" width="25.28515625" style="2" bestFit="1" customWidth="1"/>
    <col min="19" max="19" width="25.85546875" style="2" bestFit="1" customWidth="1"/>
    <col min="20" max="20" width="24.5703125" style="2" bestFit="1" customWidth="1"/>
    <col min="21" max="16384" width="11.42578125" style="2"/>
  </cols>
  <sheetData>
    <row r="1" spans="2:20" ht="74.25" customHeight="1" thickBot="1" x14ac:dyDescent="0.3">
      <c r="B1" s="39" t="s">
        <v>0</v>
      </c>
      <c r="C1" s="39"/>
      <c r="D1" s="39"/>
      <c r="E1" s="1" t="e" vm="1">
        <v>#VALUE!</v>
      </c>
    </row>
    <row r="2" spans="2:20" ht="16.5" thickTop="1" thickBot="1" x14ac:dyDescent="0.3">
      <c r="B2" s="3" t="s">
        <v>1</v>
      </c>
      <c r="C2" s="4">
        <v>0.6</v>
      </c>
    </row>
    <row r="3" spans="2:20" ht="16.5" thickTop="1" thickBot="1" x14ac:dyDescent="0.3">
      <c r="B3" s="3" t="s">
        <v>2</v>
      </c>
      <c r="C3" s="5">
        <v>24</v>
      </c>
    </row>
    <row r="4" spans="2:20" ht="16.5" thickTop="1" thickBot="1" x14ac:dyDescent="0.3">
      <c r="B4" s="3" t="s">
        <v>3</v>
      </c>
      <c r="C4" s="5">
        <v>4.2</v>
      </c>
    </row>
    <row r="5" spans="2:20" ht="16.5" thickTop="1" thickBot="1" x14ac:dyDescent="0.3">
      <c r="B5" s="40" t="s">
        <v>4</v>
      </c>
      <c r="C5" s="41"/>
      <c r="D5" s="41"/>
      <c r="E5" s="41"/>
      <c r="F5" s="42"/>
      <c r="G5" s="43" t="s">
        <v>5</v>
      </c>
      <c r="H5" s="44"/>
      <c r="I5" s="44"/>
      <c r="J5" s="45"/>
      <c r="K5" s="40" t="s">
        <v>6</v>
      </c>
      <c r="L5" s="41"/>
      <c r="M5" s="41"/>
      <c r="N5" s="41"/>
      <c r="O5" s="41"/>
      <c r="P5" s="41"/>
      <c r="Q5" s="41"/>
      <c r="R5" s="41"/>
      <c r="S5" s="42"/>
    </row>
    <row r="6" spans="2:20" ht="16.5" thickTop="1" thickBot="1" x14ac:dyDescent="0.3">
      <c r="B6" s="6" t="s">
        <v>7</v>
      </c>
      <c r="C6" s="7" t="s">
        <v>8</v>
      </c>
      <c r="D6" s="7" t="s">
        <v>9</v>
      </c>
      <c r="E6" s="7" t="s">
        <v>10</v>
      </c>
      <c r="F6" s="8" t="s">
        <v>11</v>
      </c>
      <c r="G6" s="9" t="s">
        <v>12</v>
      </c>
      <c r="H6" s="10" t="s">
        <v>13</v>
      </c>
      <c r="I6" s="10" t="s">
        <v>14</v>
      </c>
      <c r="J6" s="11" t="s">
        <v>15</v>
      </c>
      <c r="K6" s="10" t="s">
        <v>16</v>
      </c>
      <c r="L6" s="10" t="s">
        <v>17</v>
      </c>
      <c r="M6" s="12" t="s">
        <v>18</v>
      </c>
      <c r="N6" s="10" t="s">
        <v>19</v>
      </c>
      <c r="O6" s="10" t="s">
        <v>20</v>
      </c>
      <c r="P6" s="10" t="s">
        <v>21</v>
      </c>
      <c r="Q6" s="10" t="s">
        <v>2</v>
      </c>
      <c r="R6" s="10" t="s">
        <v>22</v>
      </c>
      <c r="S6" s="10" t="s">
        <v>23</v>
      </c>
      <c r="T6" s="13" t="s">
        <v>24</v>
      </c>
    </row>
    <row r="7" spans="2:20" ht="15.75" thickTop="1" x14ac:dyDescent="0.25">
      <c r="B7" s="14" t="s">
        <v>25</v>
      </c>
      <c r="C7" s="15" t="s">
        <v>26</v>
      </c>
      <c r="D7" s="15" t="s">
        <v>27</v>
      </c>
      <c r="E7" s="15" t="s">
        <v>28</v>
      </c>
      <c r="F7" s="16" t="s">
        <v>29</v>
      </c>
      <c r="G7" s="17" t="str">
        <f>IF(OR(K7="",L7="",L7="N/A"),"N/A",IF(K7&lt;=(L7*$C$2),"PASS","FAIL"))</f>
        <v>PASS</v>
      </c>
      <c r="H7" s="18" t="str">
        <f>IF(OR(M7="",N7="",N7="N/A"),"N/A",IF(M7&lt;=(N7*$C$2),"PASS","FAIL"))</f>
        <v>N/A</v>
      </c>
      <c r="I7" s="18" t="str">
        <f>IF(OR(O7="",O7="N/A",P7="",P7="N/A"),"N/A",IF(O7&lt;=(P7*$C$2),"PASS","FAIL"))</f>
        <v>N/A</v>
      </c>
      <c r="J7" s="19" t="str">
        <f>IF(OR(Q7="",Q7="N/A",R7="",R7="N/A",S7="",S7="N/A"),"N/A",IF(AND(Q7&gt;=(R7*$C$2), Q7&lt;=(S7*$C$2)),"PASS","FAIL"))</f>
        <v>PASS</v>
      </c>
      <c r="K7" s="20">
        <v>4.2</v>
      </c>
      <c r="L7" s="15">
        <v>35</v>
      </c>
      <c r="M7" s="15" t="s">
        <v>30</v>
      </c>
      <c r="N7" s="15" t="s">
        <v>30</v>
      </c>
      <c r="O7" s="15" t="s">
        <v>30</v>
      </c>
      <c r="P7" s="15" t="s">
        <v>30</v>
      </c>
      <c r="Q7" s="15">
        <f t="shared" ref="Q7:Q38" si="0">$C$3</f>
        <v>24</v>
      </c>
      <c r="R7" s="16">
        <v>-55</v>
      </c>
      <c r="S7" s="21">
        <v>85</v>
      </c>
      <c r="T7" s="21"/>
    </row>
    <row r="8" spans="2:20" x14ac:dyDescent="0.25">
      <c r="B8" s="22" t="s">
        <v>31</v>
      </c>
      <c r="C8" s="23" t="s">
        <v>26</v>
      </c>
      <c r="D8" s="23" t="s">
        <v>27</v>
      </c>
      <c r="E8" s="23" t="s">
        <v>28</v>
      </c>
      <c r="F8" s="24" t="s">
        <v>29</v>
      </c>
      <c r="G8" s="17" t="str">
        <f t="shared" ref="G8:G61" si="1">IF(OR(K8="",L8="",L8="N/A"),"N/A",IF(K8&lt;=(L8*$C$2),"PASS","FAIL"))</f>
        <v>PASS</v>
      </c>
      <c r="H8" s="18" t="str">
        <f t="shared" ref="H8:H61" si="2">IF(OR(M8="",N8="",N8="N/A"),"N/A",IF(M8&lt;=(N8*$C$2),"PASS","FAIL"))</f>
        <v>N/A</v>
      </c>
      <c r="I8" s="18" t="str">
        <f t="shared" ref="I8:I61" si="3">IF(OR(O8="",O8="N/A",P8="",P8="N/A"),"N/A",IF(O8&lt;=(P8*$C$2),"PASS","FAIL"))</f>
        <v>N/A</v>
      </c>
      <c r="J8" s="19" t="str">
        <f t="shared" ref="J8:J61" si="4">IF(OR(Q8="",Q8="N/A",R8="",R8="N/A",S8="",S8="N/A"),"N/A",IF(AND(Q8&gt;=(R8*$C$2), Q8&lt;=(S8*$C$2)),"PASS","FAIL"))</f>
        <v>PASS</v>
      </c>
      <c r="K8" s="25">
        <v>3.3</v>
      </c>
      <c r="L8" s="23">
        <v>35</v>
      </c>
      <c r="M8" s="23" t="s">
        <v>30</v>
      </c>
      <c r="N8" s="23" t="s">
        <v>30</v>
      </c>
      <c r="O8" s="23" t="s">
        <v>30</v>
      </c>
      <c r="P8" s="23" t="s">
        <v>30</v>
      </c>
      <c r="Q8" s="23">
        <f t="shared" si="0"/>
        <v>24</v>
      </c>
      <c r="R8" s="24">
        <v>-55</v>
      </c>
      <c r="S8" s="26">
        <v>85</v>
      </c>
      <c r="T8" s="26"/>
    </row>
    <row r="9" spans="2:20" x14ac:dyDescent="0.25">
      <c r="B9" s="14" t="s">
        <v>32</v>
      </c>
      <c r="C9" s="15" t="s">
        <v>33</v>
      </c>
      <c r="D9" s="15" t="s">
        <v>34</v>
      </c>
      <c r="E9" s="15" t="s">
        <v>35</v>
      </c>
      <c r="F9" s="16" t="s">
        <v>36</v>
      </c>
      <c r="G9" s="17" t="str">
        <f t="shared" si="1"/>
        <v>PASS</v>
      </c>
      <c r="H9" s="18" t="str">
        <f t="shared" si="2"/>
        <v>N/A</v>
      </c>
      <c r="I9" s="18" t="str">
        <f t="shared" si="3"/>
        <v>N/A</v>
      </c>
      <c r="J9" s="19" t="str">
        <f t="shared" si="4"/>
        <v>PASS</v>
      </c>
      <c r="K9" s="20">
        <v>3.3</v>
      </c>
      <c r="L9" s="15">
        <v>50</v>
      </c>
      <c r="M9" s="15" t="s">
        <v>30</v>
      </c>
      <c r="N9" s="15" t="s">
        <v>30</v>
      </c>
      <c r="O9" s="15" t="s">
        <v>30</v>
      </c>
      <c r="P9" s="15" t="s">
        <v>30</v>
      </c>
      <c r="Q9" s="15">
        <f t="shared" si="0"/>
        <v>24</v>
      </c>
      <c r="R9" s="16">
        <v>-55</v>
      </c>
      <c r="S9" s="21">
        <v>125</v>
      </c>
      <c r="T9" s="21"/>
    </row>
    <row r="10" spans="2:20" x14ac:dyDescent="0.25">
      <c r="B10" s="22" t="s">
        <v>37</v>
      </c>
      <c r="C10" s="23" t="s">
        <v>33</v>
      </c>
      <c r="D10" s="23" t="s">
        <v>34</v>
      </c>
      <c r="E10" s="23" t="s">
        <v>35</v>
      </c>
      <c r="F10" s="24" t="s">
        <v>36</v>
      </c>
      <c r="G10" s="17" t="str">
        <f t="shared" si="1"/>
        <v>PASS</v>
      </c>
      <c r="H10" s="18" t="str">
        <f t="shared" si="2"/>
        <v>N/A</v>
      </c>
      <c r="I10" s="18" t="str">
        <f t="shared" si="3"/>
        <v>N/A</v>
      </c>
      <c r="J10" s="19" t="str">
        <f t="shared" si="4"/>
        <v>PASS</v>
      </c>
      <c r="K10" s="25">
        <v>3.3</v>
      </c>
      <c r="L10" s="23">
        <v>50</v>
      </c>
      <c r="M10" s="23" t="s">
        <v>30</v>
      </c>
      <c r="N10" s="23" t="s">
        <v>30</v>
      </c>
      <c r="O10" s="23" t="s">
        <v>30</v>
      </c>
      <c r="P10" s="23" t="s">
        <v>30</v>
      </c>
      <c r="Q10" s="23">
        <f t="shared" si="0"/>
        <v>24</v>
      </c>
      <c r="R10" s="24">
        <v>-55</v>
      </c>
      <c r="S10" s="26">
        <v>125</v>
      </c>
      <c r="T10" s="26"/>
    </row>
    <row r="11" spans="2:20" x14ac:dyDescent="0.25">
      <c r="B11" s="14" t="s">
        <v>38</v>
      </c>
      <c r="C11" s="15" t="s">
        <v>33</v>
      </c>
      <c r="D11" s="15" t="s">
        <v>34</v>
      </c>
      <c r="E11" s="15" t="s">
        <v>35</v>
      </c>
      <c r="F11" s="16" t="s">
        <v>36</v>
      </c>
      <c r="G11" s="17" t="str">
        <f t="shared" si="1"/>
        <v>PASS</v>
      </c>
      <c r="H11" s="18" t="str">
        <f t="shared" si="2"/>
        <v>N/A</v>
      </c>
      <c r="I11" s="18" t="str">
        <f t="shared" si="3"/>
        <v>N/A</v>
      </c>
      <c r="J11" s="19" t="str">
        <f t="shared" si="4"/>
        <v>PASS</v>
      </c>
      <c r="K11" s="20">
        <v>5</v>
      </c>
      <c r="L11" s="15">
        <v>50</v>
      </c>
      <c r="M11" s="15" t="s">
        <v>30</v>
      </c>
      <c r="N11" s="15" t="s">
        <v>30</v>
      </c>
      <c r="O11" s="15" t="s">
        <v>30</v>
      </c>
      <c r="P11" s="15" t="s">
        <v>30</v>
      </c>
      <c r="Q11" s="15">
        <f t="shared" si="0"/>
        <v>24</v>
      </c>
      <c r="R11" s="16">
        <v>-55</v>
      </c>
      <c r="S11" s="21">
        <v>125</v>
      </c>
      <c r="T11" s="21"/>
    </row>
    <row r="12" spans="2:20" x14ac:dyDescent="0.25">
      <c r="B12" s="22" t="s">
        <v>39</v>
      </c>
      <c r="C12" s="23" t="s">
        <v>33</v>
      </c>
      <c r="D12" s="23" t="s">
        <v>34</v>
      </c>
      <c r="E12" s="23" t="s">
        <v>35</v>
      </c>
      <c r="F12" s="24" t="s">
        <v>36</v>
      </c>
      <c r="G12" s="17" t="str">
        <f t="shared" si="1"/>
        <v>PASS</v>
      </c>
      <c r="H12" s="18" t="str">
        <f t="shared" si="2"/>
        <v>N/A</v>
      </c>
      <c r="I12" s="18" t="str">
        <f t="shared" si="3"/>
        <v>N/A</v>
      </c>
      <c r="J12" s="19" t="str">
        <f t="shared" si="4"/>
        <v>PASS</v>
      </c>
      <c r="K12" s="25">
        <v>3.3</v>
      </c>
      <c r="L12" s="23">
        <v>50</v>
      </c>
      <c r="M12" s="23" t="s">
        <v>30</v>
      </c>
      <c r="N12" s="23" t="s">
        <v>30</v>
      </c>
      <c r="O12" s="23" t="s">
        <v>30</v>
      </c>
      <c r="P12" s="23" t="s">
        <v>30</v>
      </c>
      <c r="Q12" s="23">
        <f t="shared" si="0"/>
        <v>24</v>
      </c>
      <c r="R12" s="24">
        <v>-55</v>
      </c>
      <c r="S12" s="26">
        <v>125</v>
      </c>
      <c r="T12" s="26"/>
    </row>
    <row r="13" spans="2:20" x14ac:dyDescent="0.25">
      <c r="B13" s="14" t="s">
        <v>40</v>
      </c>
      <c r="C13" s="15" t="s">
        <v>33</v>
      </c>
      <c r="D13" s="15" t="s">
        <v>34</v>
      </c>
      <c r="E13" s="15" t="s">
        <v>35</v>
      </c>
      <c r="F13" s="16" t="s">
        <v>36</v>
      </c>
      <c r="G13" s="17" t="str">
        <f t="shared" si="1"/>
        <v>PASS</v>
      </c>
      <c r="H13" s="18" t="str">
        <f t="shared" si="2"/>
        <v>N/A</v>
      </c>
      <c r="I13" s="18" t="str">
        <f t="shared" si="3"/>
        <v>N/A</v>
      </c>
      <c r="J13" s="19" t="str">
        <f t="shared" si="4"/>
        <v>PASS</v>
      </c>
      <c r="K13" s="20">
        <v>3.3</v>
      </c>
      <c r="L13" s="15">
        <v>50</v>
      </c>
      <c r="M13" s="15" t="s">
        <v>30</v>
      </c>
      <c r="N13" s="15" t="s">
        <v>30</v>
      </c>
      <c r="O13" s="15" t="s">
        <v>30</v>
      </c>
      <c r="P13" s="15" t="s">
        <v>30</v>
      </c>
      <c r="Q13" s="15">
        <f t="shared" si="0"/>
        <v>24</v>
      </c>
      <c r="R13" s="16">
        <v>-55</v>
      </c>
      <c r="S13" s="21">
        <v>125</v>
      </c>
      <c r="T13" s="21"/>
    </row>
    <row r="14" spans="2:20" x14ac:dyDescent="0.25">
      <c r="B14" s="22" t="s">
        <v>41</v>
      </c>
      <c r="C14" s="23" t="s">
        <v>42</v>
      </c>
      <c r="D14" s="23" t="s">
        <v>27</v>
      </c>
      <c r="E14" s="23" t="s">
        <v>43</v>
      </c>
      <c r="F14" s="24" t="s">
        <v>44</v>
      </c>
      <c r="G14" s="17" t="str">
        <f t="shared" si="1"/>
        <v>PASS</v>
      </c>
      <c r="H14" s="18" t="str">
        <f t="shared" si="2"/>
        <v>N/A</v>
      </c>
      <c r="I14" s="18" t="str">
        <f t="shared" si="3"/>
        <v>N/A</v>
      </c>
      <c r="J14" s="19" t="str">
        <f t="shared" si="4"/>
        <v>PASS</v>
      </c>
      <c r="K14" s="25">
        <v>4.2</v>
      </c>
      <c r="L14" s="23">
        <v>50</v>
      </c>
      <c r="M14" s="23" t="s">
        <v>30</v>
      </c>
      <c r="N14" s="23" t="s">
        <v>30</v>
      </c>
      <c r="O14" s="23" t="s">
        <v>30</v>
      </c>
      <c r="P14" s="23" t="s">
        <v>30</v>
      </c>
      <c r="Q14" s="23">
        <f t="shared" si="0"/>
        <v>24</v>
      </c>
      <c r="R14" s="24">
        <v>-55</v>
      </c>
      <c r="S14" s="26">
        <v>125</v>
      </c>
      <c r="T14" s="26"/>
    </row>
    <row r="15" spans="2:20" x14ac:dyDescent="0.25">
      <c r="B15" s="14" t="s">
        <v>45</v>
      </c>
      <c r="C15" s="15" t="s">
        <v>33</v>
      </c>
      <c r="D15" s="15" t="s">
        <v>34</v>
      </c>
      <c r="E15" s="15" t="s">
        <v>35</v>
      </c>
      <c r="F15" s="16" t="s">
        <v>36</v>
      </c>
      <c r="G15" s="17" t="str">
        <f t="shared" si="1"/>
        <v>PASS</v>
      </c>
      <c r="H15" s="18" t="str">
        <f t="shared" si="2"/>
        <v>N/A</v>
      </c>
      <c r="I15" s="18" t="str">
        <f t="shared" si="3"/>
        <v>N/A</v>
      </c>
      <c r="J15" s="19" t="str">
        <f t="shared" si="4"/>
        <v>PASS</v>
      </c>
      <c r="K15" s="20">
        <v>3.3</v>
      </c>
      <c r="L15" s="15">
        <v>50</v>
      </c>
      <c r="M15" s="15" t="s">
        <v>30</v>
      </c>
      <c r="N15" s="15" t="s">
        <v>30</v>
      </c>
      <c r="O15" s="15" t="s">
        <v>30</v>
      </c>
      <c r="P15" s="15" t="s">
        <v>30</v>
      </c>
      <c r="Q15" s="15">
        <f t="shared" si="0"/>
        <v>24</v>
      </c>
      <c r="R15" s="16">
        <v>-55</v>
      </c>
      <c r="S15" s="21">
        <v>125</v>
      </c>
      <c r="T15" s="21"/>
    </row>
    <row r="16" spans="2:20" x14ac:dyDescent="0.25">
      <c r="B16" s="17" t="s">
        <v>46</v>
      </c>
      <c r="C16" s="18" t="s">
        <v>47</v>
      </c>
      <c r="D16" s="18" t="s">
        <v>27</v>
      </c>
      <c r="E16" s="18" t="s">
        <v>48</v>
      </c>
      <c r="F16" s="27" t="s">
        <v>49</v>
      </c>
      <c r="G16" s="17" t="str">
        <f t="shared" si="1"/>
        <v>PASS</v>
      </c>
      <c r="H16" s="18" t="str">
        <f t="shared" si="2"/>
        <v>N/A</v>
      </c>
      <c r="I16" s="18" t="str">
        <f t="shared" si="3"/>
        <v>N/A</v>
      </c>
      <c r="J16" s="19" t="str">
        <f t="shared" si="4"/>
        <v>PASS</v>
      </c>
      <c r="K16" s="28">
        <v>3.3</v>
      </c>
      <c r="L16" s="18">
        <v>10</v>
      </c>
      <c r="M16" s="18" t="s">
        <v>30</v>
      </c>
      <c r="N16" s="18" t="s">
        <v>30</v>
      </c>
      <c r="O16" s="18" t="s">
        <v>30</v>
      </c>
      <c r="P16" s="18" t="s">
        <v>30</v>
      </c>
      <c r="Q16" s="18">
        <f t="shared" si="0"/>
        <v>24</v>
      </c>
      <c r="R16" s="27">
        <v>-55</v>
      </c>
      <c r="S16" s="19">
        <v>85</v>
      </c>
      <c r="T16" s="19"/>
    </row>
    <row r="17" spans="2:20" x14ac:dyDescent="0.25">
      <c r="B17" s="14" t="s">
        <v>50</v>
      </c>
      <c r="C17" s="15" t="s">
        <v>33</v>
      </c>
      <c r="D17" s="15" t="s">
        <v>34</v>
      </c>
      <c r="E17" s="15" t="s">
        <v>35</v>
      </c>
      <c r="F17" s="16" t="s">
        <v>36</v>
      </c>
      <c r="G17" s="17" t="str">
        <f t="shared" si="1"/>
        <v>PASS</v>
      </c>
      <c r="H17" s="18" t="str">
        <f t="shared" si="2"/>
        <v>N/A</v>
      </c>
      <c r="I17" s="18" t="str">
        <f t="shared" si="3"/>
        <v>N/A</v>
      </c>
      <c r="J17" s="19" t="str">
        <f t="shared" si="4"/>
        <v>PASS</v>
      </c>
      <c r="K17" s="20">
        <v>4.2</v>
      </c>
      <c r="L17" s="15">
        <v>50</v>
      </c>
      <c r="M17" s="15" t="s">
        <v>30</v>
      </c>
      <c r="N17" s="15" t="s">
        <v>30</v>
      </c>
      <c r="O17" s="15" t="s">
        <v>30</v>
      </c>
      <c r="P17" s="15" t="s">
        <v>30</v>
      </c>
      <c r="Q17" s="15">
        <f t="shared" si="0"/>
        <v>24</v>
      </c>
      <c r="R17" s="16">
        <v>-55</v>
      </c>
      <c r="S17" s="21">
        <v>125</v>
      </c>
      <c r="T17" s="21"/>
    </row>
    <row r="18" spans="2:20" x14ac:dyDescent="0.25">
      <c r="B18" s="22" t="s">
        <v>51</v>
      </c>
      <c r="C18" s="23" t="s">
        <v>33</v>
      </c>
      <c r="D18" s="23" t="s">
        <v>34</v>
      </c>
      <c r="E18" s="23" t="s">
        <v>35</v>
      </c>
      <c r="F18" s="24" t="s">
        <v>36</v>
      </c>
      <c r="G18" s="17" t="str">
        <f t="shared" si="1"/>
        <v>PASS</v>
      </c>
      <c r="H18" s="18" t="str">
        <f t="shared" si="2"/>
        <v>N/A</v>
      </c>
      <c r="I18" s="18" t="str">
        <f t="shared" si="3"/>
        <v>N/A</v>
      </c>
      <c r="J18" s="19" t="str">
        <f t="shared" si="4"/>
        <v>PASS</v>
      </c>
      <c r="K18" s="25">
        <v>2</v>
      </c>
      <c r="L18" s="23">
        <v>50</v>
      </c>
      <c r="M18" s="23" t="s">
        <v>30</v>
      </c>
      <c r="N18" s="23" t="s">
        <v>30</v>
      </c>
      <c r="O18" s="23" t="s">
        <v>30</v>
      </c>
      <c r="P18" s="23" t="s">
        <v>30</v>
      </c>
      <c r="Q18" s="23">
        <f t="shared" si="0"/>
        <v>24</v>
      </c>
      <c r="R18" s="24">
        <v>-55</v>
      </c>
      <c r="S18" s="26">
        <v>125</v>
      </c>
      <c r="T18" s="26"/>
    </row>
    <row r="19" spans="2:20" x14ac:dyDescent="0.25">
      <c r="B19" s="14" t="s">
        <v>52</v>
      </c>
      <c r="C19" s="15" t="s">
        <v>33</v>
      </c>
      <c r="D19" s="15" t="s">
        <v>34</v>
      </c>
      <c r="E19" s="15" t="s">
        <v>35</v>
      </c>
      <c r="F19" s="16" t="s">
        <v>36</v>
      </c>
      <c r="G19" s="17" t="str">
        <f t="shared" si="1"/>
        <v>PASS</v>
      </c>
      <c r="H19" s="18" t="str">
        <f t="shared" si="2"/>
        <v>N/A</v>
      </c>
      <c r="I19" s="18" t="str">
        <f t="shared" si="3"/>
        <v>N/A</v>
      </c>
      <c r="J19" s="19" t="str">
        <f t="shared" si="4"/>
        <v>PASS</v>
      </c>
      <c r="K19" s="20">
        <v>3.3</v>
      </c>
      <c r="L19" s="15">
        <v>50</v>
      </c>
      <c r="M19" s="15" t="s">
        <v>30</v>
      </c>
      <c r="N19" s="15" t="s">
        <v>30</v>
      </c>
      <c r="O19" s="15" t="s">
        <v>30</v>
      </c>
      <c r="P19" s="15" t="s">
        <v>30</v>
      </c>
      <c r="Q19" s="15">
        <f t="shared" si="0"/>
        <v>24</v>
      </c>
      <c r="R19" s="16">
        <v>-55</v>
      </c>
      <c r="S19" s="21">
        <v>125</v>
      </c>
      <c r="T19" s="21"/>
    </row>
    <row r="20" spans="2:20" x14ac:dyDescent="0.25">
      <c r="B20" s="17" t="s">
        <v>53</v>
      </c>
      <c r="C20" s="18" t="s">
        <v>54</v>
      </c>
      <c r="D20" s="18" t="s">
        <v>34</v>
      </c>
      <c r="E20" s="18" t="s">
        <v>55</v>
      </c>
      <c r="F20" s="27" t="s">
        <v>56</v>
      </c>
      <c r="G20" s="17" t="str">
        <f t="shared" si="1"/>
        <v>PASS</v>
      </c>
      <c r="H20" s="18" t="str">
        <f t="shared" si="2"/>
        <v>N/A</v>
      </c>
      <c r="I20" s="18" t="str">
        <f t="shared" si="3"/>
        <v>N/A</v>
      </c>
      <c r="J20" s="19" t="str">
        <f t="shared" si="4"/>
        <v>PASS</v>
      </c>
      <c r="K20" s="28">
        <v>3.3</v>
      </c>
      <c r="L20" s="18">
        <v>50</v>
      </c>
      <c r="M20" s="18" t="s">
        <v>30</v>
      </c>
      <c r="N20" s="18" t="s">
        <v>30</v>
      </c>
      <c r="O20" s="18" t="s">
        <v>30</v>
      </c>
      <c r="P20" s="18" t="s">
        <v>30</v>
      </c>
      <c r="Q20" s="18">
        <f t="shared" si="0"/>
        <v>24</v>
      </c>
      <c r="R20" s="27">
        <v>-55</v>
      </c>
      <c r="S20" s="19">
        <v>125</v>
      </c>
      <c r="T20" s="19"/>
    </row>
    <row r="21" spans="2:20" x14ac:dyDescent="0.25">
      <c r="B21" s="14" t="s">
        <v>57</v>
      </c>
      <c r="C21" s="15" t="s">
        <v>58</v>
      </c>
      <c r="D21" s="15" t="s">
        <v>34</v>
      </c>
      <c r="E21" s="15" t="s">
        <v>59</v>
      </c>
      <c r="F21" s="16" t="s">
        <v>60</v>
      </c>
      <c r="G21" s="17" t="str">
        <f t="shared" si="1"/>
        <v>PASS</v>
      </c>
      <c r="H21" s="18" t="str">
        <f t="shared" si="2"/>
        <v>N/A</v>
      </c>
      <c r="I21" s="18" t="str">
        <f t="shared" si="3"/>
        <v>N/A</v>
      </c>
      <c r="J21" s="19" t="str">
        <f t="shared" si="4"/>
        <v>PASS</v>
      </c>
      <c r="K21" s="20">
        <v>3.3</v>
      </c>
      <c r="L21" s="15">
        <v>50</v>
      </c>
      <c r="M21" s="15" t="s">
        <v>30</v>
      </c>
      <c r="N21" s="15" t="s">
        <v>30</v>
      </c>
      <c r="O21" s="15" t="s">
        <v>30</v>
      </c>
      <c r="P21" s="15" t="s">
        <v>30</v>
      </c>
      <c r="Q21" s="15">
        <f t="shared" si="0"/>
        <v>24</v>
      </c>
      <c r="R21" s="16">
        <v>-55</v>
      </c>
      <c r="S21" s="21">
        <v>125</v>
      </c>
      <c r="T21" s="21"/>
    </row>
    <row r="22" spans="2:20" x14ac:dyDescent="0.25">
      <c r="B22" s="22" t="s">
        <v>61</v>
      </c>
      <c r="C22" s="23" t="s">
        <v>26</v>
      </c>
      <c r="D22" s="23" t="s">
        <v>27</v>
      </c>
      <c r="E22" s="23" t="s">
        <v>28</v>
      </c>
      <c r="F22" s="24" t="s">
        <v>29</v>
      </c>
      <c r="G22" s="17" t="str">
        <f t="shared" si="1"/>
        <v>PASS</v>
      </c>
      <c r="H22" s="18" t="str">
        <f t="shared" si="2"/>
        <v>N/A</v>
      </c>
      <c r="I22" s="18" t="str">
        <f t="shared" si="3"/>
        <v>N/A</v>
      </c>
      <c r="J22" s="19" t="str">
        <f t="shared" si="4"/>
        <v>PASS</v>
      </c>
      <c r="K22" s="25">
        <v>3.3</v>
      </c>
      <c r="L22" s="23">
        <v>35</v>
      </c>
      <c r="M22" s="23" t="s">
        <v>30</v>
      </c>
      <c r="N22" s="23" t="s">
        <v>30</v>
      </c>
      <c r="O22" s="23" t="s">
        <v>30</v>
      </c>
      <c r="P22" s="23" t="s">
        <v>30</v>
      </c>
      <c r="Q22" s="23">
        <f t="shared" si="0"/>
        <v>24</v>
      </c>
      <c r="R22" s="24">
        <v>-55</v>
      </c>
      <c r="S22" s="26">
        <v>85</v>
      </c>
      <c r="T22" s="26"/>
    </row>
    <row r="23" spans="2:20" x14ac:dyDescent="0.25">
      <c r="B23" s="14" t="s">
        <v>62</v>
      </c>
      <c r="C23" s="15" t="s">
        <v>33</v>
      </c>
      <c r="D23" s="15" t="s">
        <v>34</v>
      </c>
      <c r="E23" s="15" t="s">
        <v>35</v>
      </c>
      <c r="F23" s="16" t="s">
        <v>36</v>
      </c>
      <c r="G23" s="17" t="str">
        <f t="shared" si="1"/>
        <v>PASS</v>
      </c>
      <c r="H23" s="18" t="str">
        <f t="shared" si="2"/>
        <v>N/A</v>
      </c>
      <c r="I23" s="18" t="str">
        <f t="shared" si="3"/>
        <v>N/A</v>
      </c>
      <c r="J23" s="19" t="str">
        <f t="shared" si="4"/>
        <v>PASS</v>
      </c>
      <c r="K23" s="20">
        <v>5.5</v>
      </c>
      <c r="L23" s="15">
        <v>50</v>
      </c>
      <c r="M23" s="15" t="s">
        <v>30</v>
      </c>
      <c r="N23" s="15" t="s">
        <v>30</v>
      </c>
      <c r="O23" s="15" t="s">
        <v>30</v>
      </c>
      <c r="P23" s="15" t="s">
        <v>30</v>
      </c>
      <c r="Q23" s="15">
        <f t="shared" si="0"/>
        <v>24</v>
      </c>
      <c r="R23" s="16">
        <v>-55</v>
      </c>
      <c r="S23" s="21">
        <v>125</v>
      </c>
      <c r="T23" s="21"/>
    </row>
    <row r="24" spans="2:20" x14ac:dyDescent="0.25">
      <c r="B24" s="22" t="s">
        <v>63</v>
      </c>
      <c r="C24" s="23" t="s">
        <v>42</v>
      </c>
      <c r="D24" s="23" t="s">
        <v>27</v>
      </c>
      <c r="E24" s="23" t="s">
        <v>43</v>
      </c>
      <c r="F24" s="24" t="s">
        <v>44</v>
      </c>
      <c r="G24" s="17" t="str">
        <f t="shared" si="1"/>
        <v>PASS</v>
      </c>
      <c r="H24" s="18" t="str">
        <f t="shared" si="2"/>
        <v>N/A</v>
      </c>
      <c r="I24" s="18" t="str">
        <f t="shared" si="3"/>
        <v>N/A</v>
      </c>
      <c r="J24" s="19" t="str">
        <f t="shared" si="4"/>
        <v>PASS</v>
      </c>
      <c r="K24" s="25">
        <v>1.2</v>
      </c>
      <c r="L24" s="23">
        <v>50</v>
      </c>
      <c r="M24" s="23" t="s">
        <v>30</v>
      </c>
      <c r="N24" s="23" t="s">
        <v>30</v>
      </c>
      <c r="O24" s="23" t="s">
        <v>30</v>
      </c>
      <c r="P24" s="23" t="s">
        <v>30</v>
      </c>
      <c r="Q24" s="23">
        <f t="shared" si="0"/>
        <v>24</v>
      </c>
      <c r="R24" s="24">
        <v>-55</v>
      </c>
      <c r="S24" s="26">
        <v>125</v>
      </c>
      <c r="T24" s="26"/>
    </row>
    <row r="25" spans="2:20" x14ac:dyDescent="0.25">
      <c r="B25" s="14" t="s">
        <v>64</v>
      </c>
      <c r="C25" s="15" t="s">
        <v>33</v>
      </c>
      <c r="D25" s="15" t="s">
        <v>34</v>
      </c>
      <c r="E25" s="15" t="s">
        <v>35</v>
      </c>
      <c r="F25" s="16" t="s">
        <v>36</v>
      </c>
      <c r="G25" s="17" t="str">
        <f t="shared" si="1"/>
        <v>PASS</v>
      </c>
      <c r="H25" s="18" t="str">
        <f t="shared" si="2"/>
        <v>N/A</v>
      </c>
      <c r="I25" s="18" t="str">
        <f t="shared" si="3"/>
        <v>N/A</v>
      </c>
      <c r="J25" s="19" t="str">
        <f t="shared" si="4"/>
        <v>PASS</v>
      </c>
      <c r="K25" s="20">
        <v>4.2</v>
      </c>
      <c r="L25" s="15">
        <v>50</v>
      </c>
      <c r="M25" s="15" t="s">
        <v>30</v>
      </c>
      <c r="N25" s="15" t="s">
        <v>30</v>
      </c>
      <c r="O25" s="15" t="s">
        <v>30</v>
      </c>
      <c r="P25" s="15" t="s">
        <v>30</v>
      </c>
      <c r="Q25" s="15">
        <f t="shared" si="0"/>
        <v>24</v>
      </c>
      <c r="R25" s="16">
        <v>-55</v>
      </c>
      <c r="S25" s="21">
        <v>125</v>
      </c>
      <c r="T25" s="21"/>
    </row>
    <row r="26" spans="2:20" x14ac:dyDescent="0.25">
      <c r="B26" s="22" t="s">
        <v>65</v>
      </c>
      <c r="C26" s="23" t="s">
        <v>54</v>
      </c>
      <c r="D26" s="23" t="s">
        <v>34</v>
      </c>
      <c r="E26" s="23" t="s">
        <v>55</v>
      </c>
      <c r="F26" s="24" t="s">
        <v>56</v>
      </c>
      <c r="G26" s="17" t="str">
        <f t="shared" si="1"/>
        <v>PASS</v>
      </c>
      <c r="H26" s="18" t="str">
        <f t="shared" si="2"/>
        <v>N/A</v>
      </c>
      <c r="I26" s="18" t="str">
        <f t="shared" si="3"/>
        <v>N/A</v>
      </c>
      <c r="J26" s="19" t="str">
        <f t="shared" si="4"/>
        <v>PASS</v>
      </c>
      <c r="K26" s="25">
        <v>3.3</v>
      </c>
      <c r="L26" s="23">
        <v>50</v>
      </c>
      <c r="M26" s="23" t="s">
        <v>30</v>
      </c>
      <c r="N26" s="23" t="s">
        <v>30</v>
      </c>
      <c r="O26" s="23" t="s">
        <v>30</v>
      </c>
      <c r="P26" s="23" t="s">
        <v>30</v>
      </c>
      <c r="Q26" s="23">
        <f t="shared" si="0"/>
        <v>24</v>
      </c>
      <c r="R26" s="24">
        <v>-55</v>
      </c>
      <c r="S26" s="26">
        <v>125</v>
      </c>
      <c r="T26" s="26"/>
    </row>
    <row r="27" spans="2:20" x14ac:dyDescent="0.25">
      <c r="B27" s="14" t="s">
        <v>66</v>
      </c>
      <c r="C27" s="15" t="s">
        <v>67</v>
      </c>
      <c r="D27" s="15" t="s">
        <v>68</v>
      </c>
      <c r="E27" s="15" t="s">
        <v>69</v>
      </c>
      <c r="F27" s="16" t="s">
        <v>70</v>
      </c>
      <c r="G27" s="17" t="str">
        <f t="shared" si="1"/>
        <v>N/A</v>
      </c>
      <c r="H27" s="18" t="str">
        <f t="shared" si="2"/>
        <v>N/A</v>
      </c>
      <c r="I27" s="18" t="str">
        <f t="shared" si="3"/>
        <v>N/A</v>
      </c>
      <c r="J27" s="19" t="str">
        <f t="shared" si="4"/>
        <v>PASS</v>
      </c>
      <c r="K27" s="20" t="s">
        <v>30</v>
      </c>
      <c r="L27" s="15" t="s">
        <v>30</v>
      </c>
      <c r="M27" s="15" t="s">
        <v>30</v>
      </c>
      <c r="N27" s="15" t="s">
        <v>30</v>
      </c>
      <c r="O27" s="15" t="s">
        <v>30</v>
      </c>
      <c r="P27" s="15" t="s">
        <v>30</v>
      </c>
      <c r="Q27" s="15">
        <f t="shared" si="0"/>
        <v>24</v>
      </c>
      <c r="R27" s="16">
        <v>-40</v>
      </c>
      <c r="S27" s="21">
        <v>85</v>
      </c>
      <c r="T27" s="21"/>
    </row>
    <row r="28" spans="2:20" x14ac:dyDescent="0.25">
      <c r="B28" s="22" t="s">
        <v>71</v>
      </c>
      <c r="C28" s="23" t="s">
        <v>67</v>
      </c>
      <c r="D28" s="23" t="s">
        <v>72</v>
      </c>
      <c r="E28" t="s">
        <v>73</v>
      </c>
      <c r="F28" s="24" t="s">
        <v>74</v>
      </c>
      <c r="G28" s="17" t="str">
        <f t="shared" si="1"/>
        <v>PASS</v>
      </c>
      <c r="H28" s="18" t="str">
        <f t="shared" si="2"/>
        <v>PASS</v>
      </c>
      <c r="I28" s="18" t="str">
        <f t="shared" si="3"/>
        <v>PASS</v>
      </c>
      <c r="J28" s="19" t="str">
        <f t="shared" si="4"/>
        <v>PASS</v>
      </c>
      <c r="K28" s="25">
        <v>3.3</v>
      </c>
      <c r="L28" s="23">
        <v>25</v>
      </c>
      <c r="M28" s="23">
        <v>1E-4</v>
      </c>
      <c r="N28" s="23">
        <v>0.5</v>
      </c>
      <c r="O28" s="23">
        <f>M28*K28</f>
        <v>3.3E-4</v>
      </c>
      <c r="P28" s="23">
        <v>0.3</v>
      </c>
      <c r="Q28" s="23">
        <f t="shared" si="0"/>
        <v>24</v>
      </c>
      <c r="R28" s="24">
        <v>-55</v>
      </c>
      <c r="S28" s="26">
        <v>150</v>
      </c>
      <c r="T28" s="26"/>
    </row>
    <row r="29" spans="2:20" x14ac:dyDescent="0.25">
      <c r="B29" s="14" t="s">
        <v>75</v>
      </c>
      <c r="C29" s="15" t="s">
        <v>67</v>
      </c>
      <c r="D29" s="15" t="s">
        <v>72</v>
      </c>
      <c r="E29" s="15" t="s">
        <v>73</v>
      </c>
      <c r="F29" s="16" t="s">
        <v>74</v>
      </c>
      <c r="G29" s="17" t="str">
        <f t="shared" si="1"/>
        <v>PASS</v>
      </c>
      <c r="H29" s="18" t="str">
        <f t="shared" si="2"/>
        <v>PASS</v>
      </c>
      <c r="I29" s="18" t="str">
        <f t="shared" si="3"/>
        <v>PASS</v>
      </c>
      <c r="J29" s="19" t="str">
        <f t="shared" si="4"/>
        <v>PASS</v>
      </c>
      <c r="K29" s="20">
        <v>3.3</v>
      </c>
      <c r="L29" s="15">
        <v>25</v>
      </c>
      <c r="M29" s="15">
        <v>1E-4</v>
      </c>
      <c r="N29" s="15">
        <v>0.5</v>
      </c>
      <c r="O29" s="15">
        <v>3.3E-4</v>
      </c>
      <c r="P29" s="15">
        <v>0.3</v>
      </c>
      <c r="Q29" s="15">
        <f t="shared" si="0"/>
        <v>24</v>
      </c>
      <c r="R29" s="16">
        <v>-55</v>
      </c>
      <c r="S29" s="21">
        <v>150</v>
      </c>
      <c r="T29" s="21"/>
    </row>
    <row r="30" spans="2:20" x14ac:dyDescent="0.25">
      <c r="B30" s="22" t="s">
        <v>76</v>
      </c>
      <c r="C30" s="23" t="s">
        <v>67</v>
      </c>
      <c r="D30" s="23" t="s">
        <v>72</v>
      </c>
      <c r="E30" s="23" t="s">
        <v>73</v>
      </c>
      <c r="F30" s="24" t="s">
        <v>74</v>
      </c>
      <c r="G30" s="17" t="str">
        <f t="shared" si="1"/>
        <v>PASS</v>
      </c>
      <c r="H30" s="18" t="str">
        <f t="shared" si="2"/>
        <v>PASS</v>
      </c>
      <c r="I30" s="18" t="str">
        <f t="shared" si="3"/>
        <v>PASS</v>
      </c>
      <c r="J30" s="19" t="str">
        <f t="shared" si="4"/>
        <v>PASS</v>
      </c>
      <c r="K30" s="25">
        <v>3.3</v>
      </c>
      <c r="L30" s="23">
        <v>25</v>
      </c>
      <c r="M30" s="23">
        <v>1E-4</v>
      </c>
      <c r="N30" s="23">
        <v>0.5</v>
      </c>
      <c r="O30" s="23">
        <v>3.3E-4</v>
      </c>
      <c r="P30" s="23">
        <v>0.3</v>
      </c>
      <c r="Q30" s="23">
        <f t="shared" si="0"/>
        <v>24</v>
      </c>
      <c r="R30" s="24">
        <v>-55</v>
      </c>
      <c r="S30" s="26">
        <v>150</v>
      </c>
      <c r="T30" s="26"/>
    </row>
    <row r="31" spans="2:20" x14ac:dyDescent="0.25">
      <c r="B31" s="14" t="s">
        <v>77</v>
      </c>
      <c r="C31" s="15" t="s">
        <v>78</v>
      </c>
      <c r="D31" s="15" t="s">
        <v>79</v>
      </c>
      <c r="E31" s="15" t="s">
        <v>80</v>
      </c>
      <c r="F31" s="16" t="s">
        <v>81</v>
      </c>
      <c r="G31" s="17" t="str">
        <f t="shared" si="1"/>
        <v>PASS</v>
      </c>
      <c r="H31" s="18" t="str">
        <f t="shared" si="2"/>
        <v>PASS</v>
      </c>
      <c r="I31" s="18" t="str">
        <f t="shared" si="3"/>
        <v>PASS</v>
      </c>
      <c r="J31" s="19" t="str">
        <f t="shared" si="4"/>
        <v>PASS</v>
      </c>
      <c r="K31" s="20">
        <v>3.3</v>
      </c>
      <c r="L31" s="15">
        <v>75</v>
      </c>
      <c r="M31" s="15">
        <f>K31/5100</f>
        <v>6.4705882352941171E-4</v>
      </c>
      <c r="N31" s="15">
        <f>75/5100</f>
        <v>1.4705882352941176E-2</v>
      </c>
      <c r="O31" s="15">
        <f>K31*M31</f>
        <v>2.1352941176470586E-3</v>
      </c>
      <c r="P31" s="15">
        <v>0.1</v>
      </c>
      <c r="Q31" s="15">
        <f t="shared" si="0"/>
        <v>24</v>
      </c>
      <c r="R31" s="16">
        <v>-55</v>
      </c>
      <c r="S31" s="21">
        <v>155</v>
      </c>
      <c r="T31" s="21"/>
    </row>
    <row r="32" spans="2:20" x14ac:dyDescent="0.25">
      <c r="B32" s="17" t="s">
        <v>82</v>
      </c>
      <c r="C32" s="18" t="s">
        <v>78</v>
      </c>
      <c r="D32" s="18" t="s">
        <v>79</v>
      </c>
      <c r="E32" s="18" t="s">
        <v>80</v>
      </c>
      <c r="F32" s="27" t="s">
        <v>81</v>
      </c>
      <c r="G32" s="17" t="str">
        <f t="shared" si="1"/>
        <v>PASS</v>
      </c>
      <c r="H32" s="18" t="str">
        <f t="shared" si="2"/>
        <v>PASS</v>
      </c>
      <c r="I32" s="18" t="str">
        <f t="shared" si="3"/>
        <v>PASS</v>
      </c>
      <c r="J32" s="19" t="str">
        <f t="shared" si="4"/>
        <v>PASS</v>
      </c>
      <c r="K32" s="28">
        <v>3.3</v>
      </c>
      <c r="L32" s="18">
        <v>75</v>
      </c>
      <c r="M32" s="18">
        <f t="shared" ref="M32" si="5">K32/5100</f>
        <v>6.4705882352941171E-4</v>
      </c>
      <c r="N32" s="18">
        <f t="shared" ref="N32" si="6">75/5100</f>
        <v>1.4705882352941176E-2</v>
      </c>
      <c r="O32" s="18">
        <f t="shared" ref="O32:O44" si="7">K32*M32</f>
        <v>2.1352941176470586E-3</v>
      </c>
      <c r="P32" s="18">
        <v>0.1</v>
      </c>
      <c r="Q32" s="18">
        <f t="shared" si="0"/>
        <v>24</v>
      </c>
      <c r="R32" s="27">
        <v>-55</v>
      </c>
      <c r="S32" s="19">
        <v>155</v>
      </c>
      <c r="T32" s="19"/>
    </row>
    <row r="33" spans="2:20" x14ac:dyDescent="0.25">
      <c r="B33" s="14" t="s">
        <v>83</v>
      </c>
      <c r="C33" s="15" t="s">
        <v>84</v>
      </c>
      <c r="D33" s="15" t="s">
        <v>79</v>
      </c>
      <c r="E33" s="15" t="s">
        <v>85</v>
      </c>
      <c r="F33" s="16" t="s">
        <v>81</v>
      </c>
      <c r="G33" s="17" t="str">
        <f t="shared" si="1"/>
        <v>PASS</v>
      </c>
      <c r="H33" s="18" t="str">
        <f t="shared" si="2"/>
        <v>PASS</v>
      </c>
      <c r="I33" s="18" t="str">
        <f t="shared" si="3"/>
        <v>PASS</v>
      </c>
      <c r="J33" s="19" t="str">
        <f t="shared" si="4"/>
        <v>PASS</v>
      </c>
      <c r="K33" s="20">
        <v>3.3</v>
      </c>
      <c r="L33" s="15">
        <v>75</v>
      </c>
      <c r="M33" s="15">
        <f>K33/120000</f>
        <v>2.7499999999999998E-5</v>
      </c>
      <c r="N33" s="15">
        <f>75/120000</f>
        <v>6.2500000000000001E-4</v>
      </c>
      <c r="O33" s="15">
        <f t="shared" si="7"/>
        <v>9.0749999999999983E-5</v>
      </c>
      <c r="P33" s="15">
        <v>0.1</v>
      </c>
      <c r="Q33" s="15">
        <f t="shared" si="0"/>
        <v>24</v>
      </c>
      <c r="R33" s="16">
        <v>-55</v>
      </c>
      <c r="S33" s="21">
        <v>155</v>
      </c>
      <c r="T33" s="21"/>
    </row>
    <row r="34" spans="2:20" x14ac:dyDescent="0.25">
      <c r="B34" s="22" t="s">
        <v>86</v>
      </c>
      <c r="C34" s="23" t="s">
        <v>87</v>
      </c>
      <c r="D34" s="23" t="s">
        <v>79</v>
      </c>
      <c r="E34" s="23" t="s">
        <v>88</v>
      </c>
      <c r="F34" s="24" t="s">
        <v>81</v>
      </c>
      <c r="G34" s="17" t="str">
        <f t="shared" si="1"/>
        <v>PASS</v>
      </c>
      <c r="H34" s="18" t="str">
        <f t="shared" si="2"/>
        <v>PASS</v>
      </c>
      <c r="I34" s="18" t="str">
        <f t="shared" si="3"/>
        <v>PASS</v>
      </c>
      <c r="J34" s="19" t="str">
        <f t="shared" si="4"/>
        <v>PASS</v>
      </c>
      <c r="K34" s="28">
        <v>3.3</v>
      </c>
      <c r="L34" s="18">
        <v>75</v>
      </c>
      <c r="M34" s="18">
        <f t="shared" ref="M34:M40" si="8">K34/10000</f>
        <v>3.3E-4</v>
      </c>
      <c r="N34" s="18">
        <f t="shared" ref="N34:N40" si="9">75/10000</f>
        <v>7.4999999999999997E-3</v>
      </c>
      <c r="O34" s="18">
        <f t="shared" si="7"/>
        <v>1.0889999999999999E-3</v>
      </c>
      <c r="P34" s="18">
        <v>0.1</v>
      </c>
      <c r="Q34" s="18">
        <f t="shared" si="0"/>
        <v>24</v>
      </c>
      <c r="R34" s="27">
        <v>-55</v>
      </c>
      <c r="S34" s="19">
        <v>155</v>
      </c>
      <c r="T34" s="26"/>
    </row>
    <row r="35" spans="2:20" x14ac:dyDescent="0.25">
      <c r="B35" s="14" t="s">
        <v>89</v>
      </c>
      <c r="C35" s="15" t="s">
        <v>87</v>
      </c>
      <c r="D35" s="15" t="s">
        <v>79</v>
      </c>
      <c r="E35" s="15" t="s">
        <v>88</v>
      </c>
      <c r="F35" s="16" t="s">
        <v>81</v>
      </c>
      <c r="G35" s="17" t="str">
        <f t="shared" si="1"/>
        <v>PASS</v>
      </c>
      <c r="H35" s="18" t="str">
        <f t="shared" si="2"/>
        <v>PASS</v>
      </c>
      <c r="I35" s="18" t="str">
        <f t="shared" si="3"/>
        <v>PASS</v>
      </c>
      <c r="J35" s="19" t="str">
        <f t="shared" si="4"/>
        <v>PASS</v>
      </c>
      <c r="K35" s="20">
        <v>3.3</v>
      </c>
      <c r="L35" s="15">
        <v>75</v>
      </c>
      <c r="M35" s="15">
        <f t="shared" si="8"/>
        <v>3.3E-4</v>
      </c>
      <c r="N35" s="15">
        <f t="shared" si="9"/>
        <v>7.4999999999999997E-3</v>
      </c>
      <c r="O35" s="15">
        <f t="shared" si="7"/>
        <v>1.0889999999999999E-3</v>
      </c>
      <c r="P35" s="15">
        <v>0.1</v>
      </c>
      <c r="Q35" s="15">
        <f t="shared" si="0"/>
        <v>24</v>
      </c>
      <c r="R35" s="16">
        <v>-55</v>
      </c>
      <c r="S35" s="21">
        <v>155</v>
      </c>
      <c r="T35" s="21"/>
    </row>
    <row r="36" spans="2:20" x14ac:dyDescent="0.25">
      <c r="B36" s="17" t="s">
        <v>90</v>
      </c>
      <c r="C36" s="18" t="s">
        <v>87</v>
      </c>
      <c r="D36" s="18" t="s">
        <v>79</v>
      </c>
      <c r="E36" s="18" t="s">
        <v>88</v>
      </c>
      <c r="F36" s="27" t="s">
        <v>81</v>
      </c>
      <c r="G36" s="17" t="str">
        <f t="shared" si="1"/>
        <v>PASS</v>
      </c>
      <c r="H36" s="18" t="str">
        <f t="shared" si="2"/>
        <v>PASS</v>
      </c>
      <c r="I36" s="18" t="str">
        <f t="shared" si="3"/>
        <v>PASS</v>
      </c>
      <c r="J36" s="19" t="str">
        <f t="shared" si="4"/>
        <v>PASS</v>
      </c>
      <c r="K36" s="28">
        <v>3.3</v>
      </c>
      <c r="L36" s="18">
        <v>75</v>
      </c>
      <c r="M36" s="18">
        <f t="shared" si="8"/>
        <v>3.3E-4</v>
      </c>
      <c r="N36" s="18">
        <f t="shared" si="9"/>
        <v>7.4999999999999997E-3</v>
      </c>
      <c r="O36" s="18">
        <f t="shared" si="7"/>
        <v>1.0889999999999999E-3</v>
      </c>
      <c r="P36" s="18">
        <v>0.1</v>
      </c>
      <c r="Q36" s="18">
        <f t="shared" si="0"/>
        <v>24</v>
      </c>
      <c r="R36" s="27">
        <v>-55</v>
      </c>
      <c r="S36" s="19">
        <v>155</v>
      </c>
      <c r="T36" s="19"/>
    </row>
    <row r="37" spans="2:20" x14ac:dyDescent="0.25">
      <c r="B37" s="14" t="s">
        <v>91</v>
      </c>
      <c r="C37" s="15" t="s">
        <v>87</v>
      </c>
      <c r="D37" s="15" t="s">
        <v>79</v>
      </c>
      <c r="E37" s="15" t="s">
        <v>88</v>
      </c>
      <c r="F37" s="16" t="s">
        <v>81</v>
      </c>
      <c r="G37" s="17" t="str">
        <f t="shared" si="1"/>
        <v>PASS</v>
      </c>
      <c r="H37" s="18" t="str">
        <f t="shared" si="2"/>
        <v>PASS</v>
      </c>
      <c r="I37" s="18" t="str">
        <f t="shared" si="3"/>
        <v>PASS</v>
      </c>
      <c r="J37" s="19" t="str">
        <f t="shared" si="4"/>
        <v>PASS</v>
      </c>
      <c r="K37" s="20">
        <v>3.3</v>
      </c>
      <c r="L37" s="15">
        <v>75</v>
      </c>
      <c r="M37" s="15">
        <f t="shared" si="8"/>
        <v>3.3E-4</v>
      </c>
      <c r="N37" s="15">
        <f t="shared" si="9"/>
        <v>7.4999999999999997E-3</v>
      </c>
      <c r="O37" s="15">
        <f t="shared" si="7"/>
        <v>1.0889999999999999E-3</v>
      </c>
      <c r="P37" s="15">
        <v>0.1</v>
      </c>
      <c r="Q37" s="15">
        <f t="shared" si="0"/>
        <v>24</v>
      </c>
      <c r="R37" s="16">
        <v>-55</v>
      </c>
      <c r="S37" s="21">
        <v>155</v>
      </c>
      <c r="T37" s="21"/>
    </row>
    <row r="38" spans="2:20" x14ac:dyDescent="0.25">
      <c r="B38" s="22" t="s">
        <v>92</v>
      </c>
      <c r="C38" s="23" t="s">
        <v>87</v>
      </c>
      <c r="D38" s="23" t="s">
        <v>93</v>
      </c>
      <c r="E38" s="23" t="s">
        <v>94</v>
      </c>
      <c r="F38" s="24" t="s">
        <v>81</v>
      </c>
      <c r="G38" s="17" t="str">
        <f t="shared" si="1"/>
        <v>PASS</v>
      </c>
      <c r="H38" s="18" t="str">
        <f t="shared" si="2"/>
        <v>PASS</v>
      </c>
      <c r="I38" s="18" t="str">
        <f t="shared" si="3"/>
        <v>PASS</v>
      </c>
      <c r="J38" s="19" t="str">
        <f t="shared" si="4"/>
        <v>PASS</v>
      </c>
      <c r="K38" s="25">
        <v>3.3</v>
      </c>
      <c r="L38" s="23">
        <v>75</v>
      </c>
      <c r="M38" s="23">
        <f t="shared" si="8"/>
        <v>3.3E-4</v>
      </c>
      <c r="N38" s="23">
        <f t="shared" si="9"/>
        <v>7.4999999999999997E-3</v>
      </c>
      <c r="O38" s="23">
        <f t="shared" si="7"/>
        <v>1.0889999999999999E-3</v>
      </c>
      <c r="P38" s="23">
        <v>0.1</v>
      </c>
      <c r="Q38" s="23">
        <f t="shared" si="0"/>
        <v>24</v>
      </c>
      <c r="R38" s="24">
        <v>-55</v>
      </c>
      <c r="S38" s="26">
        <v>155</v>
      </c>
      <c r="T38" s="26"/>
    </row>
    <row r="39" spans="2:20" x14ac:dyDescent="0.25">
      <c r="B39" s="14" t="s">
        <v>95</v>
      </c>
      <c r="C39" s="15" t="s">
        <v>87</v>
      </c>
      <c r="D39" s="15" t="s">
        <v>93</v>
      </c>
      <c r="E39" s="15" t="s">
        <v>94</v>
      </c>
      <c r="F39" s="16" t="s">
        <v>81</v>
      </c>
      <c r="G39" s="17" t="str">
        <f t="shared" si="1"/>
        <v>PASS</v>
      </c>
      <c r="H39" s="18" t="str">
        <f t="shared" si="2"/>
        <v>PASS</v>
      </c>
      <c r="I39" s="18" t="str">
        <f t="shared" si="3"/>
        <v>PASS</v>
      </c>
      <c r="J39" s="19" t="str">
        <f t="shared" si="4"/>
        <v>PASS</v>
      </c>
      <c r="K39" s="20">
        <v>3.3</v>
      </c>
      <c r="L39" s="15">
        <v>75</v>
      </c>
      <c r="M39" s="15">
        <f t="shared" si="8"/>
        <v>3.3E-4</v>
      </c>
      <c r="N39" s="15">
        <f t="shared" si="9"/>
        <v>7.4999999999999997E-3</v>
      </c>
      <c r="O39" s="15">
        <f t="shared" si="7"/>
        <v>1.0889999999999999E-3</v>
      </c>
      <c r="P39" s="15">
        <v>0.1</v>
      </c>
      <c r="Q39" s="15">
        <f t="shared" ref="Q39:Q61" si="10">$C$3</f>
        <v>24</v>
      </c>
      <c r="R39" s="16">
        <v>-55</v>
      </c>
      <c r="S39" s="21">
        <v>155</v>
      </c>
      <c r="T39" s="21"/>
    </row>
    <row r="40" spans="2:20" x14ac:dyDescent="0.25">
      <c r="B40" s="22" t="s">
        <v>96</v>
      </c>
      <c r="C40" s="23" t="s">
        <v>87</v>
      </c>
      <c r="D40" s="23" t="s">
        <v>79</v>
      </c>
      <c r="E40" s="23" t="s">
        <v>88</v>
      </c>
      <c r="F40" s="24" t="s">
        <v>81</v>
      </c>
      <c r="G40" s="17" t="str">
        <f t="shared" si="1"/>
        <v>PASS</v>
      </c>
      <c r="H40" s="18" t="str">
        <f t="shared" si="2"/>
        <v>PASS</v>
      </c>
      <c r="I40" s="18" t="str">
        <f t="shared" si="3"/>
        <v>PASS</v>
      </c>
      <c r="J40" s="19" t="str">
        <f t="shared" si="4"/>
        <v>PASS</v>
      </c>
      <c r="K40" s="25">
        <v>3.3</v>
      </c>
      <c r="L40" s="23">
        <v>75</v>
      </c>
      <c r="M40" s="23">
        <f t="shared" si="8"/>
        <v>3.3E-4</v>
      </c>
      <c r="N40" s="23">
        <f t="shared" si="9"/>
        <v>7.4999999999999997E-3</v>
      </c>
      <c r="O40" s="23">
        <f t="shared" si="7"/>
        <v>1.0889999999999999E-3</v>
      </c>
      <c r="P40" s="23">
        <v>0.1</v>
      </c>
      <c r="Q40" s="23">
        <f t="shared" si="10"/>
        <v>24</v>
      </c>
      <c r="R40" s="24">
        <v>-55</v>
      </c>
      <c r="S40" s="26">
        <v>155</v>
      </c>
      <c r="T40" s="26"/>
    </row>
    <row r="41" spans="2:20" x14ac:dyDescent="0.25">
      <c r="B41" s="14" t="s">
        <v>97</v>
      </c>
      <c r="C41" s="15" t="s">
        <v>98</v>
      </c>
      <c r="D41" s="15" t="s">
        <v>79</v>
      </c>
      <c r="E41" s="15" t="s">
        <v>99</v>
      </c>
      <c r="F41" s="16" t="s">
        <v>67</v>
      </c>
      <c r="G41" s="17" t="str">
        <f t="shared" si="1"/>
        <v>PASS</v>
      </c>
      <c r="H41" s="18" t="str">
        <f t="shared" si="2"/>
        <v>PASS</v>
      </c>
      <c r="I41" s="18" t="str">
        <f t="shared" si="3"/>
        <v>PASS</v>
      </c>
      <c r="J41" s="19" t="str">
        <f t="shared" si="4"/>
        <v>PASS</v>
      </c>
      <c r="K41" s="20">
        <v>3.3</v>
      </c>
      <c r="L41" s="15">
        <v>75</v>
      </c>
      <c r="M41" s="15">
        <f>K41/1200</f>
        <v>2.7499999999999998E-3</v>
      </c>
      <c r="N41" s="15">
        <f>75/1200</f>
        <v>6.25E-2</v>
      </c>
      <c r="O41" s="15">
        <f t="shared" si="7"/>
        <v>9.0749999999999997E-3</v>
      </c>
      <c r="P41" s="15">
        <v>0.1</v>
      </c>
      <c r="Q41" s="15">
        <f t="shared" si="10"/>
        <v>24</v>
      </c>
      <c r="R41" s="16">
        <v>-55</v>
      </c>
      <c r="S41" s="21">
        <v>155</v>
      </c>
      <c r="T41" s="21"/>
    </row>
    <row r="42" spans="2:20" x14ac:dyDescent="0.25">
      <c r="B42" s="22" t="s">
        <v>100</v>
      </c>
      <c r="C42" s="23" t="s">
        <v>67</v>
      </c>
      <c r="D42" s="23" t="s">
        <v>79</v>
      </c>
      <c r="E42" s="23" t="s">
        <v>101</v>
      </c>
      <c r="F42" s="24" t="s">
        <v>102</v>
      </c>
      <c r="G42" s="17" t="str">
        <f t="shared" si="1"/>
        <v>PASS</v>
      </c>
      <c r="H42" s="18" t="str">
        <f t="shared" si="2"/>
        <v>PASS</v>
      </c>
      <c r="I42" s="18" t="str">
        <f t="shared" si="3"/>
        <v>PASS</v>
      </c>
      <c r="J42" s="19" t="str">
        <f t="shared" si="4"/>
        <v>PASS</v>
      </c>
      <c r="K42" s="25">
        <f>C4*(82/100)</f>
        <v>3.444</v>
      </c>
      <c r="L42" s="23">
        <v>75</v>
      </c>
      <c r="M42" s="23">
        <f>K42/10000</f>
        <v>3.4439999999999997E-4</v>
      </c>
      <c r="N42" s="23">
        <f>75/10000</f>
        <v>7.4999999999999997E-3</v>
      </c>
      <c r="O42" s="23">
        <f t="shared" si="7"/>
        <v>1.1861135999999999E-3</v>
      </c>
      <c r="P42" s="23">
        <v>0.1</v>
      </c>
      <c r="Q42" s="23">
        <f t="shared" si="10"/>
        <v>24</v>
      </c>
      <c r="R42" s="24">
        <v>-55</v>
      </c>
      <c r="S42" s="26">
        <v>155</v>
      </c>
      <c r="T42" s="26"/>
    </row>
    <row r="43" spans="2:20" x14ac:dyDescent="0.25">
      <c r="B43" s="14" t="s">
        <v>103</v>
      </c>
      <c r="C43" s="15" t="s">
        <v>87</v>
      </c>
      <c r="D43" s="15" t="s">
        <v>79</v>
      </c>
      <c r="E43" s="15" t="s">
        <v>88</v>
      </c>
      <c r="F43" s="16" t="s">
        <v>81</v>
      </c>
      <c r="G43" s="17" t="str">
        <f t="shared" si="1"/>
        <v>PASS</v>
      </c>
      <c r="H43" s="18" t="str">
        <f t="shared" si="2"/>
        <v>PASS</v>
      </c>
      <c r="I43" s="18" t="str">
        <f t="shared" si="3"/>
        <v>PASS</v>
      </c>
      <c r="J43" s="19" t="str">
        <f t="shared" si="4"/>
        <v>PASS</v>
      </c>
      <c r="K43" s="20">
        <v>3.3</v>
      </c>
      <c r="L43" s="15">
        <v>75</v>
      </c>
      <c r="M43" s="15">
        <f>K43/10000</f>
        <v>3.3E-4</v>
      </c>
      <c r="N43" s="15">
        <f>75/10000</f>
        <v>7.4999999999999997E-3</v>
      </c>
      <c r="O43" s="15">
        <f t="shared" si="7"/>
        <v>1.0889999999999999E-3</v>
      </c>
      <c r="P43" s="15">
        <v>0.1</v>
      </c>
      <c r="Q43" s="15">
        <f t="shared" si="10"/>
        <v>24</v>
      </c>
      <c r="R43" s="16">
        <v>-55</v>
      </c>
      <c r="S43" s="21">
        <v>155</v>
      </c>
      <c r="T43" s="21"/>
    </row>
    <row r="44" spans="2:20" x14ac:dyDescent="0.25">
      <c r="B44" s="22" t="s">
        <v>104</v>
      </c>
      <c r="C44" s="23" t="s">
        <v>87</v>
      </c>
      <c r="D44" s="23" t="s">
        <v>79</v>
      </c>
      <c r="E44" s="23" t="s">
        <v>88</v>
      </c>
      <c r="F44" s="24" t="s">
        <v>81</v>
      </c>
      <c r="G44" s="17" t="str">
        <f t="shared" si="1"/>
        <v>PASS</v>
      </c>
      <c r="H44" s="18" t="str">
        <f t="shared" si="2"/>
        <v>PASS</v>
      </c>
      <c r="I44" s="18" t="str">
        <f t="shared" si="3"/>
        <v>PASS</v>
      </c>
      <c r="J44" s="19" t="str">
        <f t="shared" si="4"/>
        <v>PASS</v>
      </c>
      <c r="K44" s="25">
        <v>3.3</v>
      </c>
      <c r="L44" s="23">
        <v>75</v>
      </c>
      <c r="M44" s="23">
        <f>K44/10000</f>
        <v>3.3E-4</v>
      </c>
      <c r="N44" s="23">
        <f>75/10000</f>
        <v>7.4999999999999997E-3</v>
      </c>
      <c r="O44" s="23">
        <f t="shared" si="7"/>
        <v>1.0889999999999999E-3</v>
      </c>
      <c r="P44" s="23">
        <v>0.1</v>
      </c>
      <c r="Q44" s="23">
        <f t="shared" si="10"/>
        <v>24</v>
      </c>
      <c r="R44" s="24">
        <v>-55</v>
      </c>
      <c r="S44" s="26">
        <v>155</v>
      </c>
      <c r="T44" s="26"/>
    </row>
    <row r="45" spans="2:20" x14ac:dyDescent="0.25">
      <c r="B45" s="14" t="s">
        <v>105</v>
      </c>
      <c r="C45" s="15" t="s">
        <v>106</v>
      </c>
      <c r="D45" s="15" t="s">
        <v>93</v>
      </c>
      <c r="E45" s="15" t="s">
        <v>107</v>
      </c>
      <c r="F45" s="16" t="s">
        <v>108</v>
      </c>
      <c r="G45" s="17" t="str">
        <f t="shared" si="1"/>
        <v>PASS</v>
      </c>
      <c r="H45" s="18" t="str">
        <f t="shared" si="2"/>
        <v>N/A</v>
      </c>
      <c r="I45" s="18" t="str">
        <f t="shared" si="3"/>
        <v>N/A</v>
      </c>
      <c r="J45" s="19" t="str">
        <f t="shared" si="4"/>
        <v>PASS</v>
      </c>
      <c r="K45" s="25">
        <v>3.3</v>
      </c>
      <c r="L45" s="23">
        <v>150</v>
      </c>
      <c r="M45" s="23" t="s">
        <v>30</v>
      </c>
      <c r="N45" s="23" t="s">
        <v>30</v>
      </c>
      <c r="O45" s="23" t="s">
        <v>30</v>
      </c>
      <c r="P45" s="23">
        <v>0.125</v>
      </c>
      <c r="Q45" s="23">
        <f t="shared" si="10"/>
        <v>24</v>
      </c>
      <c r="R45" s="24">
        <v>-55</v>
      </c>
      <c r="S45" s="26">
        <v>155</v>
      </c>
      <c r="T45" s="21"/>
    </row>
    <row r="46" spans="2:20" x14ac:dyDescent="0.25">
      <c r="B46" s="22" t="s">
        <v>109</v>
      </c>
      <c r="C46" s="23" t="s">
        <v>98</v>
      </c>
      <c r="D46" s="23" t="s">
        <v>79</v>
      </c>
      <c r="E46" s="23" t="s">
        <v>99</v>
      </c>
      <c r="F46" s="24" t="s">
        <v>67</v>
      </c>
      <c r="G46" s="17" t="str">
        <f t="shared" si="1"/>
        <v>PASS</v>
      </c>
      <c r="H46" s="18" t="str">
        <f t="shared" si="2"/>
        <v>PASS</v>
      </c>
      <c r="I46" s="18" t="str">
        <f t="shared" si="3"/>
        <v>PASS</v>
      </c>
      <c r="J46" s="19" t="str">
        <f t="shared" si="4"/>
        <v>PASS</v>
      </c>
      <c r="K46" s="25">
        <v>3.3</v>
      </c>
      <c r="L46" s="23">
        <v>75</v>
      </c>
      <c r="M46" s="23">
        <f>K46/1200</f>
        <v>2.7499999999999998E-3</v>
      </c>
      <c r="N46" s="23">
        <f>75/1200</f>
        <v>6.25E-2</v>
      </c>
      <c r="O46" s="23">
        <f t="shared" ref="O46:O50" si="11">K46*M46</f>
        <v>9.0749999999999997E-3</v>
      </c>
      <c r="P46" s="23">
        <v>0.1</v>
      </c>
      <c r="Q46" s="23">
        <f t="shared" si="10"/>
        <v>24</v>
      </c>
      <c r="R46" s="24">
        <v>-55</v>
      </c>
      <c r="S46" s="26">
        <v>155</v>
      </c>
      <c r="T46" s="26"/>
    </row>
    <row r="47" spans="2:20" x14ac:dyDescent="0.25">
      <c r="B47" s="14" t="s">
        <v>110</v>
      </c>
      <c r="C47" s="15" t="s">
        <v>87</v>
      </c>
      <c r="D47" s="15" t="s">
        <v>79</v>
      </c>
      <c r="E47" s="15" t="s">
        <v>88</v>
      </c>
      <c r="F47" s="16" t="s">
        <v>81</v>
      </c>
      <c r="G47" s="17" t="str">
        <f t="shared" si="1"/>
        <v>PASS</v>
      </c>
      <c r="H47" s="18" t="str">
        <f t="shared" si="2"/>
        <v>PASS</v>
      </c>
      <c r="I47" s="18" t="str">
        <f t="shared" si="3"/>
        <v>PASS</v>
      </c>
      <c r="J47" s="19" t="str">
        <f t="shared" si="4"/>
        <v>PASS</v>
      </c>
      <c r="K47" s="20">
        <v>3.3</v>
      </c>
      <c r="L47" s="15">
        <v>75</v>
      </c>
      <c r="M47" s="15">
        <f t="shared" ref="M47:M50" si="12">K47/10000</f>
        <v>3.3E-4</v>
      </c>
      <c r="N47" s="15">
        <f t="shared" ref="N47:N50" si="13">75/10000</f>
        <v>7.4999999999999997E-3</v>
      </c>
      <c r="O47" s="15">
        <f t="shared" si="11"/>
        <v>1.0889999999999999E-3</v>
      </c>
      <c r="P47" s="15">
        <v>0.1</v>
      </c>
      <c r="Q47" s="15">
        <f t="shared" si="10"/>
        <v>24</v>
      </c>
      <c r="R47" s="16">
        <v>-55</v>
      </c>
      <c r="S47" s="21">
        <v>155</v>
      </c>
      <c r="T47" s="21"/>
    </row>
    <row r="48" spans="2:20" x14ac:dyDescent="0.25">
      <c r="B48" s="17" t="s">
        <v>111</v>
      </c>
      <c r="C48" s="18" t="s">
        <v>87</v>
      </c>
      <c r="D48" s="18" t="s">
        <v>79</v>
      </c>
      <c r="E48" s="18" t="s">
        <v>88</v>
      </c>
      <c r="F48" s="27" t="s">
        <v>81</v>
      </c>
      <c r="G48" s="17" t="str">
        <f t="shared" si="1"/>
        <v>PASS</v>
      </c>
      <c r="H48" s="18" t="str">
        <f t="shared" si="2"/>
        <v>PASS</v>
      </c>
      <c r="I48" s="18" t="str">
        <f t="shared" si="3"/>
        <v>PASS</v>
      </c>
      <c r="J48" s="19" t="str">
        <f t="shared" si="4"/>
        <v>PASS</v>
      </c>
      <c r="K48" s="28">
        <v>3.3</v>
      </c>
      <c r="L48" s="18">
        <v>75</v>
      </c>
      <c r="M48" s="18">
        <f t="shared" si="12"/>
        <v>3.3E-4</v>
      </c>
      <c r="N48" s="18">
        <f t="shared" si="13"/>
        <v>7.4999999999999997E-3</v>
      </c>
      <c r="O48" s="18">
        <f t="shared" si="11"/>
        <v>1.0889999999999999E-3</v>
      </c>
      <c r="P48" s="18">
        <v>0.1</v>
      </c>
      <c r="Q48" s="18">
        <f t="shared" si="10"/>
        <v>24</v>
      </c>
      <c r="R48" s="27">
        <v>-55</v>
      </c>
      <c r="S48" s="19">
        <v>155</v>
      </c>
      <c r="T48" s="19"/>
    </row>
    <row r="49" spans="2:20" x14ac:dyDescent="0.25">
      <c r="B49" s="14" t="s">
        <v>112</v>
      </c>
      <c r="C49" s="15" t="s">
        <v>87</v>
      </c>
      <c r="D49" s="15" t="s">
        <v>79</v>
      </c>
      <c r="E49" s="15" t="s">
        <v>88</v>
      </c>
      <c r="F49" s="16" t="s">
        <v>81</v>
      </c>
      <c r="G49" s="17" t="str">
        <f t="shared" si="1"/>
        <v>PASS</v>
      </c>
      <c r="H49" s="18" t="str">
        <f t="shared" si="2"/>
        <v>PASS</v>
      </c>
      <c r="I49" s="18" t="str">
        <f t="shared" si="3"/>
        <v>PASS</v>
      </c>
      <c r="J49" s="19" t="str">
        <f t="shared" si="4"/>
        <v>PASS</v>
      </c>
      <c r="K49" s="20">
        <v>3.3</v>
      </c>
      <c r="L49" s="15">
        <v>75</v>
      </c>
      <c r="M49" s="15">
        <f t="shared" si="12"/>
        <v>3.3E-4</v>
      </c>
      <c r="N49" s="15">
        <f t="shared" si="13"/>
        <v>7.4999999999999997E-3</v>
      </c>
      <c r="O49" s="15">
        <f t="shared" si="11"/>
        <v>1.0889999999999999E-3</v>
      </c>
      <c r="P49" s="15">
        <v>0.1</v>
      </c>
      <c r="Q49" s="15">
        <f t="shared" si="10"/>
        <v>24</v>
      </c>
      <c r="R49" s="16">
        <v>-55</v>
      </c>
      <c r="S49" s="21">
        <v>155</v>
      </c>
      <c r="T49" s="21"/>
    </row>
    <row r="50" spans="2:20" x14ac:dyDescent="0.25">
      <c r="B50" s="22" t="s">
        <v>113</v>
      </c>
      <c r="C50" s="23" t="s">
        <v>87</v>
      </c>
      <c r="D50" s="23" t="s">
        <v>79</v>
      </c>
      <c r="E50" s="23" t="s">
        <v>88</v>
      </c>
      <c r="F50" s="24" t="s">
        <v>81</v>
      </c>
      <c r="G50" s="17" t="str">
        <f t="shared" si="1"/>
        <v>PASS</v>
      </c>
      <c r="H50" s="18" t="str">
        <f t="shared" si="2"/>
        <v>PASS</v>
      </c>
      <c r="I50" s="18" t="str">
        <f t="shared" si="3"/>
        <v>PASS</v>
      </c>
      <c r="J50" s="19" t="str">
        <f t="shared" si="4"/>
        <v>PASS</v>
      </c>
      <c r="K50" s="25">
        <v>3.3</v>
      </c>
      <c r="L50" s="23">
        <v>75</v>
      </c>
      <c r="M50" s="23">
        <f t="shared" si="12"/>
        <v>3.3E-4</v>
      </c>
      <c r="N50" s="23">
        <f t="shared" si="13"/>
        <v>7.4999999999999997E-3</v>
      </c>
      <c r="O50" s="23">
        <f t="shared" si="11"/>
        <v>1.0889999999999999E-3</v>
      </c>
      <c r="P50" s="23">
        <v>0.1</v>
      </c>
      <c r="Q50" s="23">
        <f t="shared" si="10"/>
        <v>24</v>
      </c>
      <c r="R50" s="24">
        <v>-55</v>
      </c>
      <c r="S50" s="26">
        <v>155</v>
      </c>
      <c r="T50" s="26"/>
    </row>
    <row r="51" spans="2:20" x14ac:dyDescent="0.25">
      <c r="B51" s="14" t="s">
        <v>114</v>
      </c>
      <c r="C51" s="15" t="s">
        <v>67</v>
      </c>
      <c r="D51" s="15" t="s">
        <v>115</v>
      </c>
      <c r="E51" s="15" t="s">
        <v>116</v>
      </c>
      <c r="F51" s="16" t="s">
        <v>117</v>
      </c>
      <c r="G51" s="17" t="str">
        <f t="shared" si="1"/>
        <v>N/A</v>
      </c>
      <c r="H51" s="18" t="str">
        <f t="shared" si="2"/>
        <v>N/A</v>
      </c>
      <c r="I51" s="18" t="str">
        <f t="shared" si="3"/>
        <v>N/A</v>
      </c>
      <c r="J51" s="19" t="str">
        <f t="shared" si="4"/>
        <v>PASS</v>
      </c>
      <c r="K51" s="20" t="s">
        <v>30</v>
      </c>
      <c r="L51" s="15" t="s">
        <v>30</v>
      </c>
      <c r="M51" s="15" t="s">
        <v>30</v>
      </c>
      <c r="N51" s="15" t="s">
        <v>30</v>
      </c>
      <c r="O51" s="15" t="s">
        <v>30</v>
      </c>
      <c r="P51" s="15" t="s">
        <v>30</v>
      </c>
      <c r="Q51" s="15">
        <f t="shared" si="10"/>
        <v>24</v>
      </c>
      <c r="R51" s="16">
        <v>-20</v>
      </c>
      <c r="S51" s="21">
        <v>70</v>
      </c>
      <c r="T51" s="21"/>
    </row>
    <row r="52" spans="2:20" x14ac:dyDescent="0.25">
      <c r="B52" s="17" t="s">
        <v>118</v>
      </c>
      <c r="C52" s="18" t="s">
        <v>67</v>
      </c>
      <c r="D52" s="18" t="s">
        <v>119</v>
      </c>
      <c r="E52" s="18" t="s">
        <v>120</v>
      </c>
      <c r="F52" s="27" t="s">
        <v>121</v>
      </c>
      <c r="G52" s="17" t="str">
        <f t="shared" si="1"/>
        <v>PASS</v>
      </c>
      <c r="H52" s="18" t="str">
        <f t="shared" si="2"/>
        <v>PASS</v>
      </c>
      <c r="I52" s="18" t="str">
        <f t="shared" si="3"/>
        <v>N/A</v>
      </c>
      <c r="J52" s="19" t="str">
        <f t="shared" si="4"/>
        <v>PASS</v>
      </c>
      <c r="K52" s="28">
        <v>3.3</v>
      </c>
      <c r="L52" s="18">
        <v>6</v>
      </c>
      <c r="M52" s="18">
        <v>7.0000000000000001E-3</v>
      </c>
      <c r="N52" s="18">
        <v>0.02</v>
      </c>
      <c r="O52" s="18" t="s">
        <v>30</v>
      </c>
      <c r="P52" s="18" t="s">
        <v>30</v>
      </c>
      <c r="Q52" s="18">
        <f t="shared" si="10"/>
        <v>24</v>
      </c>
      <c r="R52" s="27">
        <v>-55</v>
      </c>
      <c r="S52" s="19">
        <v>125</v>
      </c>
      <c r="T52" s="19"/>
    </row>
    <row r="53" spans="2:20" x14ac:dyDescent="0.25">
      <c r="B53" s="14" t="s">
        <v>122</v>
      </c>
      <c r="C53" s="15" t="s">
        <v>67</v>
      </c>
      <c r="D53" s="15" t="s">
        <v>123</v>
      </c>
      <c r="E53" s="15" t="s">
        <v>124</v>
      </c>
      <c r="F53" s="16" t="s">
        <v>125</v>
      </c>
      <c r="G53" s="17" t="str">
        <f t="shared" si="1"/>
        <v>N/A</v>
      </c>
      <c r="H53" s="18" t="str">
        <f t="shared" si="2"/>
        <v>N/A</v>
      </c>
      <c r="I53" s="18" t="str">
        <f t="shared" si="3"/>
        <v>N/A</v>
      </c>
      <c r="J53" s="19" t="str">
        <f t="shared" si="4"/>
        <v>PASS</v>
      </c>
      <c r="K53" s="20">
        <v>3.3</v>
      </c>
      <c r="L53" s="15" t="s">
        <v>30</v>
      </c>
      <c r="M53" s="15" t="s">
        <v>30</v>
      </c>
      <c r="N53" s="15" t="s">
        <v>30</v>
      </c>
      <c r="O53" s="15" t="s">
        <v>30</v>
      </c>
      <c r="P53" s="15" t="s">
        <v>30</v>
      </c>
      <c r="Q53" s="15">
        <f t="shared" si="10"/>
        <v>24</v>
      </c>
      <c r="R53" s="16">
        <v>-40</v>
      </c>
      <c r="S53" s="21">
        <v>65</v>
      </c>
      <c r="T53" s="21"/>
    </row>
    <row r="54" spans="2:20" x14ac:dyDescent="0.25">
      <c r="B54" s="22" t="s">
        <v>126</v>
      </c>
      <c r="C54" s="23" t="s">
        <v>67</v>
      </c>
      <c r="D54" s="23" t="s">
        <v>127</v>
      </c>
      <c r="E54" s="23" t="s">
        <v>128</v>
      </c>
      <c r="F54" s="24" t="s">
        <v>129</v>
      </c>
      <c r="G54" s="17" t="str">
        <f t="shared" si="1"/>
        <v>N/A</v>
      </c>
      <c r="H54" s="18" t="str">
        <f t="shared" si="2"/>
        <v>N/A</v>
      </c>
      <c r="I54" s="18" t="str">
        <f t="shared" si="3"/>
        <v>N/A</v>
      </c>
      <c r="J54" s="19" t="str">
        <f t="shared" si="4"/>
        <v>N/A</v>
      </c>
      <c r="K54" s="25">
        <v>3.3</v>
      </c>
      <c r="L54" s="23" t="s">
        <v>30</v>
      </c>
      <c r="M54" s="23" t="s">
        <v>30</v>
      </c>
      <c r="N54" s="23" t="s">
        <v>30</v>
      </c>
      <c r="O54" s="23" t="s">
        <v>30</v>
      </c>
      <c r="P54" s="23" t="s">
        <v>30</v>
      </c>
      <c r="Q54" s="23">
        <f t="shared" si="10"/>
        <v>24</v>
      </c>
      <c r="R54" s="24" t="s">
        <v>30</v>
      </c>
      <c r="S54" s="26" t="s">
        <v>30</v>
      </c>
      <c r="T54" s="26"/>
    </row>
    <row r="55" spans="2:20" x14ac:dyDescent="0.25">
      <c r="B55" s="14" t="s">
        <v>130</v>
      </c>
      <c r="C55" s="15" t="s">
        <v>67</v>
      </c>
      <c r="D55" s="15" t="s">
        <v>131</v>
      </c>
      <c r="E55" s="15" t="s">
        <v>132</v>
      </c>
      <c r="F55" s="16" t="s">
        <v>133</v>
      </c>
      <c r="G55" s="17" t="str">
        <f t="shared" si="1"/>
        <v>FAIL</v>
      </c>
      <c r="H55" s="18" t="str">
        <f t="shared" si="2"/>
        <v>N/A</v>
      </c>
      <c r="I55" s="18" t="str">
        <f t="shared" si="3"/>
        <v>N/A</v>
      </c>
      <c r="J55" s="19" t="str">
        <f t="shared" si="4"/>
        <v>PASS</v>
      </c>
      <c r="K55" s="20">
        <v>4.2</v>
      </c>
      <c r="L55" s="15">
        <v>5.5</v>
      </c>
      <c r="M55" s="15" t="s">
        <v>30</v>
      </c>
      <c r="N55" s="15" t="s">
        <v>30</v>
      </c>
      <c r="O55" s="15" t="s">
        <v>30</v>
      </c>
      <c r="P55" s="15" t="s">
        <v>30</v>
      </c>
      <c r="Q55" s="15">
        <f t="shared" si="10"/>
        <v>24</v>
      </c>
      <c r="R55" s="16">
        <v>-40</v>
      </c>
      <c r="S55" s="21">
        <v>85</v>
      </c>
      <c r="T55" s="21" t="s">
        <v>134</v>
      </c>
    </row>
    <row r="56" spans="2:20" x14ac:dyDescent="0.25">
      <c r="B56" s="22" t="s">
        <v>135</v>
      </c>
      <c r="C56" s="23" t="s">
        <v>67</v>
      </c>
      <c r="D56" s="23" t="s">
        <v>136</v>
      </c>
      <c r="E56" s="23" t="s">
        <v>137</v>
      </c>
      <c r="F56" s="24" t="s">
        <v>138</v>
      </c>
      <c r="G56" s="17" t="str">
        <f t="shared" si="1"/>
        <v>FAIL</v>
      </c>
      <c r="H56" s="18" t="str">
        <f t="shared" si="2"/>
        <v>N/A</v>
      </c>
      <c r="I56" s="18" t="str">
        <f t="shared" si="3"/>
        <v>N/A</v>
      </c>
      <c r="J56" s="19" t="str">
        <f t="shared" si="4"/>
        <v>PASS</v>
      </c>
      <c r="K56" s="25">
        <v>5</v>
      </c>
      <c r="L56" s="23">
        <v>6</v>
      </c>
      <c r="M56" s="23" t="s">
        <v>30</v>
      </c>
      <c r="N56" s="23" t="s">
        <v>30</v>
      </c>
      <c r="O56" s="23" t="s">
        <v>30</v>
      </c>
      <c r="P56" s="23" t="s">
        <v>30</v>
      </c>
      <c r="Q56" s="23">
        <f t="shared" si="10"/>
        <v>24</v>
      </c>
      <c r="R56" s="24">
        <v>-40</v>
      </c>
      <c r="S56" s="26">
        <v>85</v>
      </c>
      <c r="T56" s="26" t="s">
        <v>143</v>
      </c>
    </row>
    <row r="57" spans="2:20" x14ac:dyDescent="0.25">
      <c r="B57" s="14" t="s">
        <v>139</v>
      </c>
      <c r="C57" s="15" t="s">
        <v>67</v>
      </c>
      <c r="D57" s="15" t="s">
        <v>140</v>
      </c>
      <c r="E57" s="15" t="s">
        <v>141</v>
      </c>
      <c r="F57" s="16" t="s">
        <v>142</v>
      </c>
      <c r="G57" s="17" t="str">
        <f t="shared" si="1"/>
        <v>FAIL</v>
      </c>
      <c r="H57" s="18" t="str">
        <f t="shared" si="2"/>
        <v>N/A</v>
      </c>
      <c r="I57" s="18" t="str">
        <f t="shared" si="3"/>
        <v>N/A</v>
      </c>
      <c r="J57" s="19" t="str">
        <f t="shared" si="4"/>
        <v>PASS</v>
      </c>
      <c r="K57" s="20">
        <v>4.2</v>
      </c>
      <c r="L57" s="15">
        <v>4.5</v>
      </c>
      <c r="M57" s="15" t="s">
        <v>30</v>
      </c>
      <c r="N57" s="15" t="s">
        <v>30</v>
      </c>
      <c r="O57" s="15" t="s">
        <v>30</v>
      </c>
      <c r="P57" s="15" t="s">
        <v>30</v>
      </c>
      <c r="Q57" s="15">
        <f t="shared" si="10"/>
        <v>24</v>
      </c>
      <c r="R57" s="16">
        <v>-40</v>
      </c>
      <c r="S57" s="21">
        <v>85</v>
      </c>
      <c r="T57" s="21" t="s">
        <v>143</v>
      </c>
    </row>
    <row r="58" spans="2:20" x14ac:dyDescent="0.25">
      <c r="B58" s="22" t="s">
        <v>144</v>
      </c>
      <c r="C58" s="23" t="s">
        <v>67</v>
      </c>
      <c r="D58" s="23" t="s">
        <v>145</v>
      </c>
      <c r="E58" s="23" t="s">
        <v>146</v>
      </c>
      <c r="F58" s="24" t="s">
        <v>147</v>
      </c>
      <c r="G58" s="17" t="str">
        <f t="shared" si="1"/>
        <v>PASS</v>
      </c>
      <c r="H58" s="18" t="str">
        <f t="shared" si="2"/>
        <v>N/A</v>
      </c>
      <c r="I58" s="18" t="str">
        <f t="shared" si="3"/>
        <v>N/A</v>
      </c>
      <c r="J58" s="19" t="str">
        <f t="shared" si="4"/>
        <v>PASS</v>
      </c>
      <c r="K58" s="25">
        <v>3.3</v>
      </c>
      <c r="L58" s="23">
        <v>6</v>
      </c>
      <c r="M58" s="23" t="s">
        <v>30</v>
      </c>
      <c r="N58" s="23" t="s">
        <v>30</v>
      </c>
      <c r="O58" s="23" t="s">
        <v>30</v>
      </c>
      <c r="P58" s="23" t="s">
        <v>30</v>
      </c>
      <c r="Q58" s="23">
        <f t="shared" si="10"/>
        <v>24</v>
      </c>
      <c r="R58" s="24">
        <v>-40</v>
      </c>
      <c r="S58" s="26">
        <v>105</v>
      </c>
      <c r="T58" s="26"/>
    </row>
    <row r="59" spans="2:20" x14ac:dyDescent="0.25">
      <c r="B59" s="14" t="s">
        <v>148</v>
      </c>
      <c r="C59" s="15" t="s">
        <v>67</v>
      </c>
      <c r="D59" s="15" t="s">
        <v>149</v>
      </c>
      <c r="E59" s="15" t="s">
        <v>150</v>
      </c>
      <c r="F59" s="16" t="s">
        <v>151</v>
      </c>
      <c r="G59" s="17" t="str">
        <f t="shared" si="1"/>
        <v>PASS</v>
      </c>
      <c r="H59" s="18" t="str">
        <f t="shared" si="2"/>
        <v>FAIL</v>
      </c>
      <c r="I59" s="18" t="str">
        <f t="shared" si="3"/>
        <v>FAIL</v>
      </c>
      <c r="J59" s="19" t="str">
        <f t="shared" si="4"/>
        <v>PASS</v>
      </c>
      <c r="K59" s="20">
        <f>C4</f>
        <v>4.2</v>
      </c>
      <c r="L59" s="15">
        <v>7</v>
      </c>
      <c r="M59" s="15" t="s">
        <v>152</v>
      </c>
      <c r="N59" s="15">
        <v>0.9</v>
      </c>
      <c r="O59" s="15" t="s">
        <v>152</v>
      </c>
      <c r="P59" s="15">
        <f>3.3*N59</f>
        <v>2.9699999999999998</v>
      </c>
      <c r="Q59" s="15">
        <f t="shared" si="10"/>
        <v>24</v>
      </c>
      <c r="R59" s="16">
        <v>-40</v>
      </c>
      <c r="S59" s="21">
        <v>85</v>
      </c>
      <c r="T59" s="21"/>
    </row>
    <row r="60" spans="2:20" x14ac:dyDescent="0.25">
      <c r="B60" s="22" t="s">
        <v>153</v>
      </c>
      <c r="C60" s="23" t="s">
        <v>67</v>
      </c>
      <c r="D60" s="23" t="s">
        <v>154</v>
      </c>
      <c r="E60" s="23" t="s">
        <v>67</v>
      </c>
      <c r="F60" s="24" t="s">
        <v>67</v>
      </c>
      <c r="G60" s="17" t="str">
        <f t="shared" si="1"/>
        <v>N/A</v>
      </c>
      <c r="H60" s="18" t="str">
        <f t="shared" si="2"/>
        <v>N/A</v>
      </c>
      <c r="I60" s="18" t="str">
        <f t="shared" si="3"/>
        <v>N/A</v>
      </c>
      <c r="J60" s="19" t="str">
        <f t="shared" si="4"/>
        <v>N/A</v>
      </c>
      <c r="K60" s="25" t="s">
        <v>30</v>
      </c>
      <c r="L60" s="23" t="s">
        <v>30</v>
      </c>
      <c r="M60" s="23" t="s">
        <v>30</v>
      </c>
      <c r="N60" s="23" t="s">
        <v>30</v>
      </c>
      <c r="O60" s="23" t="s">
        <v>30</v>
      </c>
      <c r="P60" s="23" t="s">
        <v>30</v>
      </c>
      <c r="Q60" s="23">
        <f t="shared" si="10"/>
        <v>24</v>
      </c>
      <c r="R60" s="24" t="s">
        <v>30</v>
      </c>
      <c r="S60" s="26" t="s">
        <v>30</v>
      </c>
      <c r="T60" s="26"/>
    </row>
    <row r="61" spans="2:20" ht="15.75" thickBot="1" x14ac:dyDescent="0.3">
      <c r="B61" s="29" t="s">
        <v>155</v>
      </c>
      <c r="C61" s="30" t="s">
        <v>67</v>
      </c>
      <c r="D61" s="30" t="s">
        <v>156</v>
      </c>
      <c r="E61" s="30" t="s">
        <v>67</v>
      </c>
      <c r="F61" s="31" t="s">
        <v>67</v>
      </c>
      <c r="G61" s="32" t="str">
        <f t="shared" si="1"/>
        <v>N/A</v>
      </c>
      <c r="H61" s="33" t="str">
        <f t="shared" si="2"/>
        <v>N/A</v>
      </c>
      <c r="I61" s="33" t="str">
        <f t="shared" si="3"/>
        <v>N/A</v>
      </c>
      <c r="J61" s="34" t="str">
        <f t="shared" si="4"/>
        <v>N/A</v>
      </c>
      <c r="K61" s="35" t="s">
        <v>30</v>
      </c>
      <c r="L61" s="36" t="s">
        <v>30</v>
      </c>
      <c r="M61" s="36" t="s">
        <v>30</v>
      </c>
      <c r="N61" s="36" t="s">
        <v>30</v>
      </c>
      <c r="O61" s="36" t="s">
        <v>30</v>
      </c>
      <c r="P61" s="36" t="s">
        <v>30</v>
      </c>
      <c r="Q61" s="36">
        <f t="shared" si="10"/>
        <v>24</v>
      </c>
      <c r="R61" s="37" t="s">
        <v>30</v>
      </c>
      <c r="S61" s="38" t="s">
        <v>30</v>
      </c>
      <c r="T61" s="38"/>
    </row>
    <row r="62" spans="2:20" ht="15.75" thickTop="1" x14ac:dyDescent="0.25"/>
  </sheetData>
  <mergeCells count="4">
    <mergeCell ref="B1:D1"/>
    <mergeCell ref="B5:F5"/>
    <mergeCell ref="G5:J5"/>
    <mergeCell ref="K5:S5"/>
  </mergeCells>
  <conditionalFormatting sqref="G7:J366">
    <cfRule type="containsText" dxfId="2" priority="1" operator="containsText" text="N/A">
      <formula>NOT(ISERROR(SEARCH("N/A",G7)))</formula>
    </cfRule>
    <cfRule type="containsText" dxfId="1" priority="2" operator="containsText" text="PASS">
      <formula>NOT(ISERROR(SEARCH("PASS",G7)))</formula>
    </cfRule>
    <cfRule type="containsText" dxfId="0" priority="3" operator="containsText" text="FAIL">
      <formula>NOT(ISERROR(SEARCH("FAIL",G7)))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Deon</dc:creator>
  <cp:lastModifiedBy>Johann Deon</cp:lastModifiedBy>
  <dcterms:created xsi:type="dcterms:W3CDTF">2026-03-19T20:14:30Z</dcterms:created>
  <dcterms:modified xsi:type="dcterms:W3CDTF">2026-03-22T10:49:20Z</dcterms:modified>
</cp:coreProperties>
</file>